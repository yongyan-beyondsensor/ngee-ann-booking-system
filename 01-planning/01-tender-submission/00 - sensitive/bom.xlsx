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D:\dev\ngee-ann-booking-system\01-planning\01-tender-submission\00 - sensitive\"/>
    </mc:Choice>
  </mc:AlternateContent>
  <xr:revisionPtr revIDLastSave="0" documentId="13_ncr:1_{41040166-2D1C-477E-A45E-4A15BB0F9339}" xr6:coauthVersionLast="47" xr6:coauthVersionMax="47" xr10:uidLastSave="{00000000-0000-0000-0000-000000000000}"/>
  <bookViews>
    <workbookView xWindow="-120" yWindow="-120" windowWidth="51840" windowHeight="21120" activeTab="1" xr2:uid="{00000000-000D-0000-FFFF-FFFF00000000}"/>
  </bookViews>
  <sheets>
    <sheet name="Sheet1" sheetId="1" r:id="rId1"/>
    <sheet name="Projection" sheetId="3" r:id="rId2"/>
    <sheet name="Sheet2" sheetId="2" r:id="rId3"/>
  </sheets>
  <definedNames>
    <definedName name="BID_AMOUNT">Sheet1!$W$3</definedName>
    <definedName name="PROJECT_COST">Sheet1!$K$21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W9" i="1"/>
  <c r="X8" i="1"/>
  <c r="G32" i="3" s="1"/>
  <c r="E3" i="3"/>
  <c r="E4" i="3" s="1"/>
  <c r="E5" i="3" s="1"/>
  <c r="E6" i="3" s="1"/>
  <c r="E7" i="3" s="1"/>
  <c r="E8" i="3" s="1"/>
  <c r="C3" i="3"/>
  <c r="X7" i="1"/>
  <c r="G20" i="3" s="1"/>
  <c r="X6" i="1"/>
  <c r="X5" i="1"/>
  <c r="G8" i="3" s="1"/>
  <c r="X4" i="1"/>
  <c r="G3" i="3" s="1"/>
  <c r="G45" i="3" s="1"/>
  <c r="D5" i="2"/>
  <c r="F5" i="2" s="1"/>
  <c r="S4" i="1"/>
  <c r="S5" i="1"/>
  <c r="S6" i="1"/>
  <c r="S7" i="1"/>
  <c r="H4" i="1"/>
  <c r="K4" i="1" s="1"/>
  <c r="F9" i="1"/>
  <c r="F12" i="1"/>
  <c r="F13" i="1" s="1"/>
  <c r="F14" i="1" s="1"/>
  <c r="J28" i="1"/>
  <c r="J29" i="1"/>
  <c r="J30" i="1"/>
  <c r="J31" i="1"/>
  <c r="K31" i="1" s="1"/>
  <c r="J32" i="1"/>
  <c r="J33" i="1"/>
  <c r="J34" i="1"/>
  <c r="K34" i="1" s="1"/>
  <c r="J27" i="1"/>
  <c r="K27" i="1" s="1"/>
  <c r="K23" i="1"/>
  <c r="K17" i="1"/>
  <c r="M17" i="1" s="1"/>
  <c r="K18" i="1"/>
  <c r="M18" i="1" s="1"/>
  <c r="K16" i="1"/>
  <c r="M16" i="1" s="1"/>
  <c r="M15" i="1"/>
  <c r="K14" i="1"/>
  <c r="M14" i="1" s="1"/>
  <c r="K13" i="1"/>
  <c r="M13" i="1" s="1"/>
  <c r="K12" i="1"/>
  <c r="M12" i="1" s="1"/>
  <c r="K11" i="1"/>
  <c r="M11" i="1" s="1"/>
  <c r="K10" i="1"/>
  <c r="M10" i="1" s="1"/>
  <c r="K9" i="1"/>
  <c r="M9" i="1" s="1"/>
  <c r="K8" i="1"/>
  <c r="M8" i="1" s="1"/>
  <c r="K7" i="1"/>
  <c r="M7" i="1" s="1"/>
  <c r="K6" i="1"/>
  <c r="M6" i="1" s="1"/>
  <c r="K5" i="1"/>
  <c r="M5" i="1" s="1"/>
  <c r="F3" i="3" l="1"/>
  <c r="H3" i="3" s="1"/>
  <c r="C4" i="3"/>
  <c r="M23" i="1"/>
  <c r="K33" i="1"/>
  <c r="K32" i="1"/>
  <c r="K28" i="1"/>
  <c r="K29" i="1"/>
  <c r="M4" i="1"/>
  <c r="M21" i="1" s="1"/>
  <c r="Q3" i="1" s="1"/>
  <c r="S3" i="1" s="1"/>
  <c r="K30" i="1"/>
  <c r="K21" i="1"/>
  <c r="C5" i="3" l="1"/>
  <c r="F4" i="3"/>
  <c r="H4" i="3" s="1"/>
  <c r="L33" i="1"/>
  <c r="L32" i="1"/>
  <c r="L28" i="1"/>
  <c r="L30" i="1"/>
  <c r="L29" i="1"/>
  <c r="L34" i="1"/>
  <c r="L27" i="1"/>
  <c r="L31" i="1"/>
  <c r="K24" i="1"/>
  <c r="P3" i="1"/>
  <c r="K35" i="1"/>
  <c r="M24" i="1"/>
  <c r="F5" i="3" l="1"/>
  <c r="H5" i="3" s="1"/>
  <c r="C6" i="3"/>
  <c r="L35" i="1"/>
  <c r="R3" i="1"/>
  <c r="P4" i="1"/>
  <c r="F6" i="3" l="1"/>
  <c r="H6" i="3" s="1"/>
  <c r="C7" i="3"/>
  <c r="P5" i="1"/>
  <c r="R4" i="1"/>
  <c r="F7" i="3" l="1"/>
  <c r="H7" i="3" s="1"/>
  <c r="C8" i="3"/>
  <c r="P6" i="1"/>
  <c r="R5" i="1"/>
  <c r="F8" i="3" l="1"/>
  <c r="H8" i="3" s="1"/>
  <c r="C9" i="3"/>
  <c r="R6" i="1"/>
  <c r="P7" i="1"/>
  <c r="R7" i="1" s="1"/>
  <c r="F9" i="3" l="1"/>
  <c r="H9" i="3" s="1"/>
  <c r="C10" i="3"/>
  <c r="F10" i="3" l="1"/>
  <c r="H10" i="3" s="1"/>
  <c r="C11" i="3"/>
  <c r="F11" i="3" l="1"/>
  <c r="H11" i="3" s="1"/>
  <c r="C12" i="3"/>
  <c r="F12" i="3" l="1"/>
  <c r="H12" i="3" s="1"/>
  <c r="C13" i="3"/>
  <c r="F13" i="3" l="1"/>
  <c r="H13" i="3" s="1"/>
  <c r="C14" i="3"/>
  <c r="F14" i="3" l="1"/>
  <c r="H14" i="3" s="1"/>
  <c r="C15" i="3"/>
  <c r="F15" i="3" l="1"/>
  <c r="H15" i="3" s="1"/>
  <c r="C16" i="3"/>
  <c r="F16" i="3" l="1"/>
  <c r="H16" i="3" s="1"/>
  <c r="C17" i="3"/>
  <c r="F17" i="3" l="1"/>
  <c r="H17" i="3" s="1"/>
  <c r="C18" i="3"/>
  <c r="F18" i="3" l="1"/>
  <c r="H18" i="3" s="1"/>
  <c r="C19" i="3"/>
  <c r="F19" i="3" l="1"/>
  <c r="H19" i="3" s="1"/>
  <c r="C20" i="3"/>
  <c r="F20" i="3" l="1"/>
  <c r="H20" i="3" s="1"/>
  <c r="C21" i="3"/>
  <c r="F21" i="3" l="1"/>
  <c r="H21" i="3" s="1"/>
  <c r="C22" i="3"/>
  <c r="F22" i="3" l="1"/>
  <c r="H22" i="3" s="1"/>
  <c r="C23" i="3"/>
  <c r="F23" i="3" l="1"/>
  <c r="H23" i="3" s="1"/>
  <c r="C24" i="3"/>
  <c r="F24" i="3" l="1"/>
  <c r="H24" i="3" s="1"/>
  <c r="C25" i="3"/>
  <c r="F25" i="3" l="1"/>
  <c r="H25" i="3" s="1"/>
  <c r="C26" i="3"/>
  <c r="F26" i="3" l="1"/>
  <c r="H26" i="3" s="1"/>
  <c r="C27" i="3"/>
  <c r="F27" i="3" l="1"/>
  <c r="H27" i="3" s="1"/>
  <c r="C28" i="3"/>
  <c r="F28" i="3" l="1"/>
  <c r="H28" i="3" s="1"/>
  <c r="C29" i="3"/>
  <c r="F29" i="3" l="1"/>
  <c r="H29" i="3" s="1"/>
  <c r="C30" i="3"/>
  <c r="F30" i="3" l="1"/>
  <c r="H30" i="3" s="1"/>
  <c r="C31" i="3"/>
  <c r="F31" i="3" l="1"/>
  <c r="H31" i="3" s="1"/>
  <c r="C32" i="3"/>
  <c r="F32" i="3" l="1"/>
  <c r="H32" i="3" s="1"/>
  <c r="C33" i="3"/>
  <c r="F33" i="3" l="1"/>
  <c r="H33" i="3" s="1"/>
  <c r="C34" i="3"/>
  <c r="F34" i="3" l="1"/>
  <c r="H34" i="3" s="1"/>
  <c r="C35" i="3"/>
  <c r="F35" i="3" l="1"/>
  <c r="H35" i="3" s="1"/>
  <c r="C36" i="3"/>
  <c r="F36" i="3" l="1"/>
  <c r="H36" i="3" s="1"/>
  <c r="C37" i="3"/>
  <c r="F37" i="3" l="1"/>
  <c r="H37" i="3" s="1"/>
  <c r="C38" i="3"/>
  <c r="F38" i="3" l="1"/>
  <c r="H38" i="3" s="1"/>
  <c r="C39" i="3"/>
  <c r="F39" i="3" l="1"/>
  <c r="H39" i="3" s="1"/>
  <c r="C40" i="3"/>
  <c r="F40" i="3" l="1"/>
  <c r="H40" i="3" s="1"/>
  <c r="C41" i="3"/>
  <c r="F41" i="3" l="1"/>
  <c r="H41" i="3" s="1"/>
  <c r="C42" i="3"/>
  <c r="F42" i="3" l="1"/>
  <c r="H42" i="3" s="1"/>
  <c r="C43" i="3"/>
  <c r="F43" i="3" l="1"/>
  <c r="H43" i="3" s="1"/>
  <c r="C44" i="3"/>
  <c r="F44" i="3" s="1"/>
  <c r="F45" i="3" s="1"/>
  <c r="H44" i="3" l="1"/>
</calcChain>
</file>

<file path=xl/sharedStrings.xml><?xml version="1.0" encoding="utf-8"?>
<sst xmlns="http://schemas.openxmlformats.org/spreadsheetml/2006/main" count="163" uniqueCount="128">
  <si>
    <t xml:space="preserve">Classifications </t>
  </si>
  <si>
    <t xml:space="preserve">Installations </t>
  </si>
  <si>
    <t>Hardware Maintenance</t>
  </si>
  <si>
    <t xml:space="preserve">Manpower (Software) </t>
  </si>
  <si>
    <t xml:space="preserve">Manpower (Tech) </t>
  </si>
  <si>
    <t xml:space="preserve">Project Implementation and Delivery </t>
  </si>
  <si>
    <t xml:space="preserve">Qty </t>
  </si>
  <si>
    <t>Line-Total</t>
  </si>
  <si>
    <t xml:space="preserve">Months </t>
  </si>
  <si>
    <t xml:space="preserve">Project Management </t>
  </si>
  <si>
    <t xml:space="preserve">AI Development Tools (Codex / Antigravity) </t>
  </si>
  <si>
    <t xml:space="preserve">Locker Equipment / Staging </t>
  </si>
  <si>
    <t xml:space="preserve">LOT </t>
  </si>
  <si>
    <t>UOM</t>
  </si>
  <si>
    <t xml:space="preserve">Cloud Infra </t>
  </si>
  <si>
    <t xml:space="preserve">Locker Setup and Installation </t>
  </si>
  <si>
    <t xml:space="preserve">4G Router </t>
  </si>
  <si>
    <t xml:space="preserve">Man Days </t>
  </si>
  <si>
    <t xml:space="preserve">Supabase Instance </t>
  </si>
  <si>
    <t xml:space="preserve">Vercel Hosting + Web Hosting </t>
  </si>
  <si>
    <t xml:space="preserve">Resend </t>
  </si>
  <si>
    <t xml:space="preserve">Mini PC for Gateway Controller + Lock Controls </t>
  </si>
  <si>
    <t>Hardware</t>
  </si>
  <si>
    <t>Software Tools</t>
  </si>
  <si>
    <t xml:space="preserve">Unit Costs </t>
  </si>
  <si>
    <t xml:space="preserve">Outsource Development Effort </t>
  </si>
  <si>
    <t xml:space="preserve">S/N </t>
  </si>
  <si>
    <t>Margin</t>
  </si>
  <si>
    <t xml:space="preserve">Sub-Total </t>
  </si>
  <si>
    <t xml:space="preserve">Annual </t>
  </si>
  <si>
    <t xml:space="preserve">Labelling and Setup </t>
  </si>
  <si>
    <t xml:space="preserve">Label Stickers </t>
  </si>
  <si>
    <t xml:space="preserve">Item </t>
  </si>
  <si>
    <t>Capex</t>
  </si>
  <si>
    <t xml:space="preserve">Monthly </t>
  </si>
  <si>
    <t>CAPEX</t>
  </si>
  <si>
    <t>OPEX</t>
  </si>
  <si>
    <t>Infrastructure</t>
  </si>
  <si>
    <t>4G SIM Card Subscription</t>
  </si>
  <si>
    <t xml:space="preserve">Software Development Team Engagement (15%) </t>
  </si>
  <si>
    <t>Maintenance (Quarterly Trip + Remote + Software)</t>
  </si>
  <si>
    <t>Option 1</t>
  </si>
  <si>
    <t>Option 2</t>
  </si>
  <si>
    <t>Option 3</t>
  </si>
  <si>
    <t>Option 4</t>
  </si>
  <si>
    <t xml:space="preserve">1. Make more if we can resolve the locker and retrofit with existing (Save 12k) </t>
  </si>
  <si>
    <t>2. Development time should be reduced</t>
  </si>
  <si>
    <t xml:space="preserve">3. Development and Hosting Low Risks </t>
  </si>
  <si>
    <t xml:space="preserve">Breakdown </t>
  </si>
  <si>
    <t>Percentage</t>
  </si>
  <si>
    <t>Option 5</t>
  </si>
  <si>
    <t xml:space="preserve">Cloud Storage Cost Increase since last 4 Years </t>
  </si>
  <si>
    <t xml:space="preserve">Additional Cloud Operation Storage </t>
  </si>
  <si>
    <t xml:space="preserve">Development Effort Need to keep track in Tech Stacks + Cyber Security Requirements </t>
  </si>
  <si>
    <t xml:space="preserve">Email + Hosting Costs </t>
  </si>
  <si>
    <t xml:space="preserve">Workflow Optimizations </t>
  </si>
  <si>
    <t xml:space="preserve">Additional Support for Project and Teams Under Quoted </t>
  </si>
  <si>
    <t xml:space="preserve">Cloud Infrastructure Setup </t>
  </si>
  <si>
    <t xml:space="preserve">Mobile App Enhancements </t>
  </si>
  <si>
    <t xml:space="preserve">Cloud Storage and Infra Costs went Up </t>
  </si>
  <si>
    <t xml:space="preserve">Miradore + Works </t>
  </si>
  <si>
    <t xml:space="preserve">Reasons Increased for Cloud Setup </t>
  </si>
  <si>
    <t xml:space="preserve">Additional Development Efforts </t>
  </si>
  <si>
    <t xml:space="preserve">Meeting and Resouces Overhead </t>
  </si>
  <si>
    <t xml:space="preserve">Cybersecurity Costs </t>
  </si>
  <si>
    <t>Equipment</t>
  </si>
  <si>
    <t>4G Subscription</t>
  </si>
  <si>
    <t xml:space="preserve">Bidding Options </t>
  </si>
  <si>
    <t xml:space="preserve">Proposed Payment Schedule </t>
  </si>
  <si>
    <t xml:space="preserve">Milestone 1 </t>
  </si>
  <si>
    <t>Milestone 2</t>
  </si>
  <si>
    <t>Milestone 3</t>
  </si>
  <si>
    <t>Milestone 4</t>
  </si>
  <si>
    <t xml:space="preserve">Bid Amount </t>
  </si>
  <si>
    <t>Start of Year 1</t>
  </si>
  <si>
    <t>Start of Year 2</t>
  </si>
  <si>
    <t>Start of Year 3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</si>
  <si>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</si>
  <si>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</si>
  <si>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</si>
  <si>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</si>
  <si>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</si>
  <si>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</si>
  <si>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</si>
  <si>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</si>
  <si>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</si>
  <si>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</si>
  <si>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</si>
  <si>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</si>
  <si>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</si>
  <si>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</si>
  <si>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</si>
  <si>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</si>
  <si>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</si>
  <si>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</si>
  <si>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</si>
  <si>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</si>
  <si>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</si>
  <si>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</si>
  <si>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</si>
  <si>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</si>
  <si>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</si>
  <si>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</si>
  <si>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</si>
  <si>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M28</t>
  </si>
  <si>
    <t>M29</t>
  </si>
  <si>
    <t>M30</t>
  </si>
  <si>
    <t>M31</t>
  </si>
  <si>
    <t>M32</t>
  </si>
  <si>
    <t>M33</t>
  </si>
  <si>
    <t>M34</t>
  </si>
  <si>
    <t>M35</t>
  </si>
  <si>
    <t>M36</t>
  </si>
  <si>
    <t>M37</t>
  </si>
  <si>
    <t>M38</t>
  </si>
  <si>
    <t>M39</t>
  </si>
  <si>
    <t>M40</t>
  </si>
  <si>
    <t>M41</t>
  </si>
  <si>
    <t>M42</t>
  </si>
  <si>
    <t>Infra Subscriptions</t>
  </si>
  <si>
    <t>Manpower 
(Software)</t>
  </si>
  <si>
    <t>Monthly 
Expenditure</t>
  </si>
  <si>
    <t>Start of Project</t>
  </si>
  <si>
    <t>Milestone 5</t>
  </si>
  <si>
    <t>Acceptance Test + Year 1</t>
  </si>
  <si>
    <t>Revenue 
Milestone</t>
  </si>
  <si>
    <t>Cumulative
P/L</t>
  </si>
  <si>
    <t>Manpower 
(Initial)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</si>
</sst>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ptos"/>
      <family val="2"/>
    </font>
    <font>
      <sz val="11"/>
      <color theme="1"/>
      <name val="Aptos"/>
      <family val="2"/>
    </font>
    <font>
      <sz val="11"/>
      <color theme="2"/>
      <name val="Aptos"/>
      <family val="2"/>
    </font>
    <font>
      <b/>
      <sz val="11"/>
      <color theme="2"/>
      <name val="Aptos"/>
      <family val="2"/>
    </font>
    <font>
      <sz val="9"/>
      <color theme="1"/>
      <name val="Aptos"/>
      <family val="2"/>
    </font>
    <font>
      <sz val="8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color theme="9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6">
    <xf numFmtId="0" fontId="0" fillId="0" borderId="0" xfId="0"/>
    <xf numFmtId="0" fontId="2" fillId="0" borderId="0" xfId="0" applyFont="1"/>
    <xf numFmtId="44" fontId="0" fillId="0" borderId="0" xfId="1" applyFont="1"/>
    <xf numFmtId="0" fontId="3" fillId="0" borderId="0" xfId="0" applyFont="1"/>
    <xf numFmtId="44" fontId="3" fillId="0" borderId="0" xfId="1" applyFont="1"/>
    <xf numFmtId="0" fontId="4" fillId="0" borderId="0" xfId="0" applyFont="1"/>
    <xf numFmtId="44" fontId="4" fillId="0" borderId="0" xfId="1" applyFont="1"/>
    <xf numFmtId="44" fontId="4" fillId="0" borderId="0" xfId="0" applyNumberFormat="1" applyFont="1"/>
    <xf numFmtId="0" fontId="4" fillId="0" borderId="0" xfId="0" applyFont="1" applyAlignment="1">
      <alignment horizontal="center"/>
    </xf>
    <xf numFmtId="0" fontId="3" fillId="0" borderId="1" xfId="0" applyFont="1" applyBorder="1"/>
    <xf numFmtId="44" fontId="3" fillId="0" borderId="1" xfId="1" applyFont="1" applyBorder="1"/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44" fontId="4" fillId="0" borderId="1" xfId="1" applyFont="1" applyBorder="1"/>
    <xf numFmtId="44" fontId="3" fillId="0" borderId="1" xfId="0" applyNumberFormat="1" applyFont="1" applyBorder="1"/>
    <xf numFmtId="0" fontId="5" fillId="2" borderId="1" xfId="0" applyFont="1" applyFill="1" applyBorder="1" applyAlignment="1">
      <alignment horizontal="center"/>
    </xf>
    <xf numFmtId="0" fontId="5" fillId="2" borderId="1" xfId="0" applyFont="1" applyFill="1" applyBorder="1"/>
    <xf numFmtId="44" fontId="5" fillId="2" borderId="1" xfId="1" applyFont="1" applyFill="1" applyBorder="1"/>
    <xf numFmtId="44" fontId="6" fillId="2" borderId="1" xfId="1" applyFont="1" applyFill="1" applyBorder="1"/>
    <xf numFmtId="0" fontId="6" fillId="2" borderId="1" xfId="0" applyFont="1" applyFill="1" applyBorder="1" applyAlignment="1">
      <alignment horizontal="center"/>
    </xf>
    <xf numFmtId="0" fontId="6" fillId="2" borderId="1" xfId="0" applyFont="1" applyFill="1" applyBorder="1"/>
    <xf numFmtId="44" fontId="4" fillId="0" borderId="0" xfId="1" applyFont="1" applyAlignment="1">
      <alignment horizontal="center"/>
    </xf>
    <xf numFmtId="9" fontId="6" fillId="2" borderId="1" xfId="2" applyFont="1" applyFill="1" applyBorder="1" applyAlignment="1">
      <alignment horizontal="center"/>
    </xf>
    <xf numFmtId="9" fontId="4" fillId="0" borderId="1" xfId="2" applyFont="1" applyBorder="1" applyAlignment="1">
      <alignment horizontal="center"/>
    </xf>
    <xf numFmtId="9" fontId="5" fillId="2" borderId="1" xfId="2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0" fontId="4" fillId="0" borderId="0" xfId="0" applyFont="1" applyAlignment="1"/>
    <xf numFmtId="44" fontId="3" fillId="0" borderId="0" xfId="0" applyNumberFormat="1" applyFont="1"/>
    <xf numFmtId="44" fontId="4" fillId="0" borderId="0" xfId="2" applyNumberFormat="1" applyFont="1" applyAlignment="1">
      <alignment horizontal="center"/>
    </xf>
    <xf numFmtId="9" fontId="3" fillId="0" borderId="0" xfId="2" applyFont="1" applyAlignment="1">
      <alignment horizontal="center"/>
    </xf>
    <xf numFmtId="0" fontId="3" fillId="0" borderId="0" xfId="0" applyFont="1" applyAlignment="1">
      <alignment horizontal="right"/>
    </xf>
    <xf numFmtId="44" fontId="3" fillId="0" borderId="0" xfId="2" applyNumberFormat="1" applyFont="1" applyAlignment="1">
      <alignment horizontal="center"/>
    </xf>
    <xf numFmtId="44" fontId="3" fillId="0" borderId="0" xfId="0" applyNumberFormat="1" applyFont="1" applyAlignment="1">
      <alignment horizontal="center"/>
    </xf>
    <xf numFmtId="0" fontId="7" fillId="0" borderId="0" xfId="0" applyFont="1"/>
    <xf numFmtId="9" fontId="4" fillId="0" borderId="0" xfId="0" applyNumberFormat="1" applyFont="1"/>
    <xf numFmtId="9" fontId="3" fillId="0" borderId="0" xfId="2" applyFont="1" applyAlignment="1">
      <alignment horizontal="left"/>
    </xf>
    <xf numFmtId="0" fontId="0" fillId="0" borderId="0" xfId="0" applyAlignment="1">
      <alignment horizontal="center"/>
    </xf>
    <xf numFmtId="44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9" fillId="0" borderId="0" xfId="0" applyFont="1"/>
    <xf numFmtId="44" fontId="9" fillId="0" borderId="0" xfId="0" applyNumberFormat="1" applyFont="1"/>
    <xf numFmtId="44" fontId="9" fillId="0" borderId="0" xfId="1" applyFont="1"/>
    <xf numFmtId="44" fontId="10" fillId="0" borderId="0" xfId="0" applyNumberFormat="1" applyFont="1"/>
    <xf numFmtId="0" fontId="10" fillId="0" borderId="0" xfId="0" applyFont="1"/>
    <xf numFmtId="44" fontId="2" fillId="0" borderId="0" xfId="0" applyNumberFormat="1" applyFont="1"/>
  </cellXfs>
  <cellStyles count="3">
    <cellStyle name="Currency" xfId="1" builtinId="4"/>
    <cellStyle name="Normal" xfId="0" builtinId="0"/>
    <cellStyle name="Percent" xfId="2" builtinId="5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X35"/>
  <sheetViews>
    <sheetView topLeftCell="E1" zoomScale="130" zoomScaleNormal="130" workbookViewId="0">
      <selection activeCell="K5" sqref="K5"/>
    </sheetView>
  </sheetViews>
  <sheetFormatPr defaultRowHeight="15" x14ac:dyDescent="0.25"/>
  <cols>
    <col min="1" max="1" width="9.140625" style="5"/>
    <col min="2" max="2" width="22" style="5" bestFit="1" customWidth="1"/>
    <col min="3" max="3" width="2.5703125" style="5" customWidth="1"/>
    <col min="4" max="4" width="7" style="8" customWidth="1"/>
    <col min="5" max="5" width="46.140625" style="6" customWidth="1"/>
    <col min="6" max="6" width="21.42578125" style="8" customWidth="1"/>
    <col min="7" max="7" width="10.85546875" style="8" customWidth="1"/>
    <col min="8" max="8" width="14" style="5" customWidth="1"/>
    <col min="9" max="9" width="6.7109375" style="21" customWidth="1"/>
    <col min="10" max="10" width="23.140625" style="5" bestFit="1" customWidth="1"/>
    <col min="11" max="11" width="14.7109375" style="5" customWidth="1"/>
    <col min="12" max="12" width="12.42578125" style="25" bestFit="1" customWidth="1"/>
    <col min="13" max="13" width="15" style="5" customWidth="1"/>
    <col min="14" max="14" width="9.140625" style="5"/>
    <col min="15" max="15" width="17.85546875" style="5" customWidth="1"/>
    <col min="16" max="16" width="15.140625" style="5" customWidth="1"/>
    <col min="17" max="17" width="17.85546875" style="5" customWidth="1"/>
    <col min="18" max="18" width="12.42578125" style="8" bestFit="1" customWidth="1"/>
    <col min="19" max="19" width="9.140625" style="8"/>
    <col min="20" max="20" width="9.140625" style="5"/>
    <col min="21" max="21" width="13.42578125" style="5" bestFit="1" customWidth="1"/>
    <col min="22" max="22" width="23.5703125" style="5" customWidth="1"/>
    <col min="23" max="23" width="16.5703125" style="5" customWidth="1"/>
    <col min="24" max="24" width="17.42578125" style="5" customWidth="1"/>
    <col min="25" max="16384" width="9.140625" style="5"/>
  </cols>
  <sheetData>
    <row r="2" spans="2:24" x14ac:dyDescent="0.25">
      <c r="O2" s="29" t="s">
        <v>67</v>
      </c>
      <c r="Q2" s="5" t="s">
        <v>73</v>
      </c>
      <c r="U2" s="35" t="s">
        <v>68</v>
      </c>
      <c r="V2" s="35"/>
      <c r="W2" s="35"/>
      <c r="X2" s="35"/>
    </row>
    <row r="3" spans="2:24" x14ac:dyDescent="0.25">
      <c r="B3" s="9" t="s">
        <v>0</v>
      </c>
      <c r="C3" s="3"/>
      <c r="D3" s="19" t="s">
        <v>26</v>
      </c>
      <c r="E3" s="20" t="s">
        <v>5</v>
      </c>
      <c r="F3" s="19" t="s">
        <v>0</v>
      </c>
      <c r="G3" s="19"/>
      <c r="H3" s="18" t="s">
        <v>24</v>
      </c>
      <c r="I3" s="19" t="s">
        <v>6</v>
      </c>
      <c r="J3" s="20" t="s">
        <v>13</v>
      </c>
      <c r="K3" s="18" t="s">
        <v>7</v>
      </c>
      <c r="L3" s="22" t="s">
        <v>27</v>
      </c>
      <c r="M3" s="18" t="s">
        <v>28</v>
      </c>
      <c r="O3" s="29" t="s">
        <v>41</v>
      </c>
      <c r="P3" s="7">
        <f>K21</f>
        <v>60990</v>
      </c>
      <c r="Q3" s="28">
        <f>M21</f>
        <v>81803.676470588238</v>
      </c>
      <c r="R3" s="25">
        <f>(Q3-P3)/Q3</f>
        <v>0.25443448715989686</v>
      </c>
      <c r="S3" s="32">
        <f>Q3/1800/36</f>
        <v>1.2624024146695716</v>
      </c>
      <c r="W3" s="31">
        <v>76880</v>
      </c>
      <c r="X3" s="25"/>
    </row>
    <row r="4" spans="2:24" x14ac:dyDescent="0.25">
      <c r="B4" s="11" t="s">
        <v>14</v>
      </c>
      <c r="D4" s="12">
        <v>1</v>
      </c>
      <c r="E4" s="11" t="s">
        <v>39</v>
      </c>
      <c r="F4" s="12" t="s">
        <v>3</v>
      </c>
      <c r="G4" s="12" t="s">
        <v>36</v>
      </c>
      <c r="H4" s="13">
        <f>4000*0.75</f>
        <v>3000</v>
      </c>
      <c r="I4" s="12">
        <v>6</v>
      </c>
      <c r="J4" s="11" t="s">
        <v>8</v>
      </c>
      <c r="K4" s="10">
        <f>I4*H4</f>
        <v>18000</v>
      </c>
      <c r="L4" s="23">
        <v>0.4</v>
      </c>
      <c r="M4" s="14">
        <f>K4/(1-L4)</f>
        <v>30000</v>
      </c>
      <c r="O4" s="29" t="s">
        <v>42</v>
      </c>
      <c r="P4" s="7">
        <f>P3</f>
        <v>60990</v>
      </c>
      <c r="Q4" s="28">
        <v>81800</v>
      </c>
      <c r="R4" s="25">
        <f>(Q4-P4)/Q4</f>
        <v>0.25440097799511002</v>
      </c>
      <c r="S4" s="32">
        <f t="shared" ref="S4:S7" si="0">Q4/1800/36</f>
        <v>1.2623456790123457</v>
      </c>
      <c r="U4" s="7" t="s">
        <v>69</v>
      </c>
      <c r="V4" s="5" t="s">
        <v>122</v>
      </c>
      <c r="W4" s="34">
        <v>0</v>
      </c>
      <c r="X4" s="21">
        <f>W4*BID_AMOUNT</f>
        <v>0</v>
      </c>
    </row>
    <row r="5" spans="2:24" x14ac:dyDescent="0.25">
      <c r="B5" s="11" t="s">
        <v>1</v>
      </c>
      <c r="D5" s="12">
        <v>2</v>
      </c>
      <c r="E5" s="11" t="s">
        <v>25</v>
      </c>
      <c r="F5" s="12" t="s">
        <v>3</v>
      </c>
      <c r="G5" s="12" t="s">
        <v>33</v>
      </c>
      <c r="H5" s="13">
        <v>8000</v>
      </c>
      <c r="I5" s="12">
        <v>1</v>
      </c>
      <c r="J5" s="11" t="s">
        <v>8</v>
      </c>
      <c r="K5" s="10">
        <f>I5*H5</f>
        <v>8000</v>
      </c>
      <c r="L5" s="23">
        <v>0</v>
      </c>
      <c r="M5" s="14">
        <f t="shared" ref="M5:M18" si="1">K5/(1-L5)</f>
        <v>8000</v>
      </c>
      <c r="O5" s="29" t="s">
        <v>43</v>
      </c>
      <c r="P5" s="7">
        <f>P4</f>
        <v>60990</v>
      </c>
      <c r="Q5" s="28">
        <v>76800</v>
      </c>
      <c r="R5" s="25">
        <f>(Q5-P5)/Q5</f>
        <v>0.20585937500000001</v>
      </c>
      <c r="S5" s="32">
        <f t="shared" si="0"/>
        <v>1.1851851851851851</v>
      </c>
      <c r="U5" s="7" t="s">
        <v>70</v>
      </c>
      <c r="V5" s="5" t="s">
        <v>124</v>
      </c>
      <c r="W5" s="34">
        <v>0.7</v>
      </c>
      <c r="X5" s="21">
        <f>W5*BID_AMOUNT</f>
        <v>53816</v>
      </c>
    </row>
    <row r="6" spans="2:24" x14ac:dyDescent="0.25">
      <c r="B6" s="11" t="s">
        <v>2</v>
      </c>
      <c r="D6" s="12">
        <v>3</v>
      </c>
      <c r="E6" s="11" t="s">
        <v>9</v>
      </c>
      <c r="F6" s="12" t="s">
        <v>3</v>
      </c>
      <c r="G6" s="12" t="s">
        <v>36</v>
      </c>
      <c r="H6" s="13">
        <v>1500</v>
      </c>
      <c r="I6" s="12">
        <v>6</v>
      </c>
      <c r="J6" s="11" t="s">
        <v>8</v>
      </c>
      <c r="K6" s="10">
        <f>I6*H6</f>
        <v>9000</v>
      </c>
      <c r="L6" s="23">
        <v>0.2</v>
      </c>
      <c r="M6" s="14">
        <f t="shared" si="1"/>
        <v>11250</v>
      </c>
      <c r="O6" s="29" t="s">
        <v>44</v>
      </c>
      <c r="P6" s="7">
        <f>P5</f>
        <v>60990</v>
      </c>
      <c r="Q6" s="28">
        <v>73680</v>
      </c>
      <c r="R6" s="25">
        <f>(Q6-P6)/Q6</f>
        <v>0.17223127035830618</v>
      </c>
      <c r="S6" s="32">
        <f t="shared" si="0"/>
        <v>1.1370370370370368</v>
      </c>
      <c r="U6" s="7" t="s">
        <v>71</v>
      </c>
      <c r="V6" s="5" t="s">
        <v>74</v>
      </c>
      <c r="W6" s="34">
        <v>0</v>
      </c>
      <c r="X6" s="21">
        <f>W6*BID_AMOUNT</f>
        <v>0</v>
      </c>
    </row>
    <row r="7" spans="2:24" x14ac:dyDescent="0.25">
      <c r="B7" s="11" t="s">
        <v>3</v>
      </c>
      <c r="D7" s="12">
        <v>4</v>
      </c>
      <c r="E7" s="11" t="s">
        <v>10</v>
      </c>
      <c r="F7" s="12" t="s">
        <v>23</v>
      </c>
      <c r="G7" s="12" t="s">
        <v>36</v>
      </c>
      <c r="H7" s="13">
        <v>500</v>
      </c>
      <c r="I7" s="12">
        <v>6</v>
      </c>
      <c r="J7" s="11" t="s">
        <v>8</v>
      </c>
      <c r="K7" s="10">
        <f>I7*H7</f>
        <v>3000</v>
      </c>
      <c r="L7" s="23">
        <v>0.2</v>
      </c>
      <c r="M7" s="14">
        <f t="shared" si="1"/>
        <v>3750</v>
      </c>
      <c r="O7" s="29" t="s">
        <v>50</v>
      </c>
      <c r="P7" s="7">
        <f>P6</f>
        <v>60990</v>
      </c>
      <c r="Q7" s="28">
        <v>69800</v>
      </c>
      <c r="R7" s="25">
        <f>(Q7-P7)/Q7</f>
        <v>0.12621776504297993</v>
      </c>
      <c r="S7" s="32">
        <f t="shared" si="0"/>
        <v>1.0771604938271606</v>
      </c>
      <c r="U7" s="7" t="s">
        <v>72</v>
      </c>
      <c r="V7" s="5" t="s">
        <v>75</v>
      </c>
      <c r="W7" s="34">
        <v>0.15</v>
      </c>
      <c r="X7" s="21">
        <f>W7*BID_AMOUNT</f>
        <v>11532</v>
      </c>
    </row>
    <row r="8" spans="2:24" x14ac:dyDescent="0.25">
      <c r="B8" s="11" t="s">
        <v>4</v>
      </c>
      <c r="D8" s="12">
        <v>5</v>
      </c>
      <c r="E8" s="11" t="s">
        <v>11</v>
      </c>
      <c r="F8" s="12" t="s">
        <v>22</v>
      </c>
      <c r="G8" s="12" t="s">
        <v>33</v>
      </c>
      <c r="H8" s="13">
        <v>11000</v>
      </c>
      <c r="I8" s="12">
        <v>1</v>
      </c>
      <c r="J8" s="11" t="s">
        <v>12</v>
      </c>
      <c r="K8" s="10">
        <f>I8*H8</f>
        <v>11000</v>
      </c>
      <c r="L8" s="23">
        <v>0.15</v>
      </c>
      <c r="M8" s="14">
        <f t="shared" si="1"/>
        <v>12941.176470588236</v>
      </c>
      <c r="Q8" s="25"/>
      <c r="U8" s="5" t="s">
        <v>123</v>
      </c>
      <c r="V8" s="5" t="s">
        <v>76</v>
      </c>
      <c r="W8" s="34">
        <v>0.15</v>
      </c>
      <c r="X8" s="21">
        <f>W8*BID_AMOUNT</f>
        <v>11532</v>
      </c>
    </row>
    <row r="9" spans="2:24" x14ac:dyDescent="0.25">
      <c r="B9" s="11" t="s">
        <v>22</v>
      </c>
      <c r="D9" s="12">
        <v>6</v>
      </c>
      <c r="E9" s="11" t="s">
        <v>15</v>
      </c>
      <c r="F9" s="12" t="str">
        <f>B5</f>
        <v xml:space="preserve">Installations </v>
      </c>
      <c r="G9" s="12" t="s">
        <v>33</v>
      </c>
      <c r="H9" s="13">
        <v>350</v>
      </c>
      <c r="I9" s="12">
        <v>6</v>
      </c>
      <c r="J9" s="11" t="s">
        <v>17</v>
      </c>
      <c r="K9" s="10">
        <f>I9*H9</f>
        <v>2100</v>
      </c>
      <c r="L9" s="23">
        <v>0.4</v>
      </c>
      <c r="M9" s="14">
        <f t="shared" si="1"/>
        <v>3500</v>
      </c>
      <c r="O9" s="33" t="s">
        <v>45</v>
      </c>
      <c r="Q9" s="25"/>
      <c r="U9" s="26"/>
      <c r="W9" s="34">
        <f>SUM(W4:W8)</f>
        <v>1</v>
      </c>
    </row>
    <row r="10" spans="2:24" x14ac:dyDescent="0.25">
      <c r="B10" s="11" t="s">
        <v>23</v>
      </c>
      <c r="D10" s="12">
        <v>7</v>
      </c>
      <c r="E10" s="11" t="s">
        <v>16</v>
      </c>
      <c r="F10" s="12" t="s">
        <v>22</v>
      </c>
      <c r="G10" s="12" t="s">
        <v>33</v>
      </c>
      <c r="H10" s="13">
        <v>200</v>
      </c>
      <c r="I10" s="12">
        <v>1</v>
      </c>
      <c r="J10" s="11" t="s">
        <v>65</v>
      </c>
      <c r="K10" s="10">
        <f t="shared" ref="K10:K18" si="2">I10*H10</f>
        <v>200</v>
      </c>
      <c r="L10" s="23">
        <v>0.2</v>
      </c>
      <c r="M10" s="14">
        <f t="shared" si="1"/>
        <v>250</v>
      </c>
      <c r="O10" s="33" t="s">
        <v>46</v>
      </c>
      <c r="Q10" s="25"/>
    </row>
    <row r="11" spans="2:24" x14ac:dyDescent="0.25">
      <c r="B11" s="11" t="s">
        <v>37</v>
      </c>
      <c r="D11" s="12">
        <v>8</v>
      </c>
      <c r="E11" s="11" t="s">
        <v>38</v>
      </c>
      <c r="F11" s="8" t="s">
        <v>37</v>
      </c>
      <c r="G11" s="12" t="s">
        <v>36</v>
      </c>
      <c r="H11" s="13">
        <v>10</v>
      </c>
      <c r="I11" s="12">
        <v>42</v>
      </c>
      <c r="J11" s="11" t="s">
        <v>66</v>
      </c>
      <c r="K11" s="10">
        <f t="shared" si="2"/>
        <v>420</v>
      </c>
      <c r="L11" s="23">
        <v>0.2</v>
      </c>
      <c r="M11" s="14">
        <f t="shared" si="1"/>
        <v>525</v>
      </c>
      <c r="O11" s="33" t="s">
        <v>47</v>
      </c>
      <c r="Q11" s="25"/>
    </row>
    <row r="12" spans="2:24" x14ac:dyDescent="0.25">
      <c r="D12" s="12">
        <v>9</v>
      </c>
      <c r="E12" s="11" t="s">
        <v>18</v>
      </c>
      <c r="F12" s="12" t="str">
        <f>B4</f>
        <v xml:space="preserve">Cloud Infra </v>
      </c>
      <c r="G12" s="12" t="s">
        <v>36</v>
      </c>
      <c r="H12" s="13">
        <v>20</v>
      </c>
      <c r="I12" s="12">
        <v>42</v>
      </c>
      <c r="J12" s="11" t="s">
        <v>8</v>
      </c>
      <c r="K12" s="10">
        <f t="shared" si="2"/>
        <v>840</v>
      </c>
      <c r="L12" s="23">
        <v>0.2</v>
      </c>
      <c r="M12" s="14">
        <f t="shared" si="1"/>
        <v>1050</v>
      </c>
      <c r="O12" s="33"/>
      <c r="Q12" s="25"/>
    </row>
    <row r="13" spans="2:24" x14ac:dyDescent="0.25">
      <c r="D13" s="12">
        <v>10</v>
      </c>
      <c r="E13" s="11" t="s">
        <v>19</v>
      </c>
      <c r="F13" s="12" t="str">
        <f>F12</f>
        <v xml:space="preserve">Cloud Infra </v>
      </c>
      <c r="G13" s="12" t="s">
        <v>36</v>
      </c>
      <c r="H13" s="13">
        <v>30</v>
      </c>
      <c r="I13" s="12">
        <v>42</v>
      </c>
      <c r="J13" s="11" t="s">
        <v>8</v>
      </c>
      <c r="K13" s="10">
        <f t="shared" si="2"/>
        <v>1260</v>
      </c>
      <c r="L13" s="23">
        <v>0.2</v>
      </c>
      <c r="M13" s="14">
        <f t="shared" si="1"/>
        <v>1575</v>
      </c>
    </row>
    <row r="14" spans="2:24" x14ac:dyDescent="0.25">
      <c r="D14" s="12">
        <v>11</v>
      </c>
      <c r="E14" s="11" t="s">
        <v>20</v>
      </c>
      <c r="F14" s="12" t="str">
        <f>F13</f>
        <v xml:space="preserve">Cloud Infra </v>
      </c>
      <c r="G14" s="12" t="s">
        <v>36</v>
      </c>
      <c r="H14" s="13">
        <v>20</v>
      </c>
      <c r="I14" s="12">
        <v>42</v>
      </c>
      <c r="J14" s="11" t="s">
        <v>8</v>
      </c>
      <c r="K14" s="10">
        <f t="shared" si="2"/>
        <v>840</v>
      </c>
      <c r="L14" s="23">
        <v>0.2</v>
      </c>
      <c r="M14" s="14">
        <f t="shared" si="1"/>
        <v>1050</v>
      </c>
    </row>
    <row r="15" spans="2:24" x14ac:dyDescent="0.25">
      <c r="D15" s="12">
        <v>12</v>
      </c>
      <c r="E15" s="11" t="s">
        <v>21</v>
      </c>
      <c r="F15" s="12" t="s">
        <v>22</v>
      </c>
      <c r="G15" s="12" t="s">
        <v>33</v>
      </c>
      <c r="H15" s="13">
        <v>600</v>
      </c>
      <c r="I15" s="12">
        <v>1</v>
      </c>
      <c r="J15" s="11" t="s">
        <v>22</v>
      </c>
      <c r="K15" s="10">
        <v>680</v>
      </c>
      <c r="L15" s="23">
        <v>0.2</v>
      </c>
      <c r="M15" s="14">
        <f t="shared" si="1"/>
        <v>850</v>
      </c>
    </row>
    <row r="16" spans="2:24" x14ac:dyDescent="0.25">
      <c r="D16" s="12">
        <v>13</v>
      </c>
      <c r="E16" s="11" t="s">
        <v>40</v>
      </c>
      <c r="F16" s="8" t="s">
        <v>2</v>
      </c>
      <c r="G16" s="12" t="s">
        <v>36</v>
      </c>
      <c r="H16" s="13">
        <v>1200</v>
      </c>
      <c r="I16" s="12">
        <v>3</v>
      </c>
      <c r="J16" s="11" t="s">
        <v>29</v>
      </c>
      <c r="K16" s="10">
        <f t="shared" si="2"/>
        <v>3600</v>
      </c>
      <c r="L16" s="23">
        <v>0.2</v>
      </c>
      <c r="M16" s="14">
        <f t="shared" si="1"/>
        <v>4500</v>
      </c>
    </row>
    <row r="17" spans="4:17" x14ac:dyDescent="0.25">
      <c r="D17" s="12">
        <v>14</v>
      </c>
      <c r="E17" s="11" t="s">
        <v>30</v>
      </c>
      <c r="F17" s="12" t="s">
        <v>23</v>
      </c>
      <c r="G17" s="12" t="s">
        <v>33</v>
      </c>
      <c r="H17" s="13">
        <v>350</v>
      </c>
      <c r="I17" s="12">
        <v>3</v>
      </c>
      <c r="J17" s="11" t="s">
        <v>17</v>
      </c>
      <c r="K17" s="10">
        <f t="shared" si="2"/>
        <v>1050</v>
      </c>
      <c r="L17" s="23">
        <v>0.2</v>
      </c>
      <c r="M17" s="14">
        <f t="shared" si="1"/>
        <v>1312.5</v>
      </c>
    </row>
    <row r="18" spans="4:17" x14ac:dyDescent="0.25">
      <c r="D18" s="12">
        <v>15</v>
      </c>
      <c r="E18" s="11" t="s">
        <v>31</v>
      </c>
      <c r="F18" s="12" t="s">
        <v>22</v>
      </c>
      <c r="G18" s="12" t="s">
        <v>33</v>
      </c>
      <c r="H18" s="13">
        <v>1</v>
      </c>
      <c r="I18" s="12">
        <v>1000</v>
      </c>
      <c r="J18" s="11" t="s">
        <v>32</v>
      </c>
      <c r="K18" s="10">
        <f t="shared" si="2"/>
        <v>1000</v>
      </c>
      <c r="L18" s="23">
        <v>0.2</v>
      </c>
      <c r="M18" s="14">
        <f t="shared" si="1"/>
        <v>1250</v>
      </c>
    </row>
    <row r="19" spans="4:17" x14ac:dyDescent="0.25">
      <c r="D19" s="12"/>
      <c r="E19" s="11"/>
      <c r="F19" s="12"/>
      <c r="G19" s="12"/>
      <c r="H19" s="13"/>
      <c r="I19" s="12"/>
      <c r="J19" s="11"/>
      <c r="K19" s="13"/>
      <c r="L19" s="23"/>
      <c r="M19" s="9"/>
    </row>
    <row r="20" spans="4:17" x14ac:dyDescent="0.25">
      <c r="D20" s="12"/>
      <c r="E20" s="11"/>
      <c r="F20" s="12"/>
      <c r="G20" s="12"/>
      <c r="H20" s="13"/>
      <c r="I20" s="12"/>
      <c r="J20" s="11"/>
      <c r="K20" s="13"/>
      <c r="L20" s="23"/>
      <c r="M20" s="9"/>
    </row>
    <row r="21" spans="4:17" x14ac:dyDescent="0.25">
      <c r="D21" s="15"/>
      <c r="E21" s="16"/>
      <c r="F21" s="15"/>
      <c r="G21" s="15"/>
      <c r="H21" s="17"/>
      <c r="I21" s="15"/>
      <c r="J21" s="16"/>
      <c r="K21" s="18">
        <f>SUM(K4:K20)</f>
        <v>60990</v>
      </c>
      <c r="L21" s="24"/>
      <c r="M21" s="18">
        <f>SUM(M4:M20)</f>
        <v>81803.676470588238</v>
      </c>
    </row>
    <row r="23" spans="4:17" x14ac:dyDescent="0.25">
      <c r="J23" s="3" t="s">
        <v>35</v>
      </c>
      <c r="K23" s="4">
        <f>SUMIF(G4:G20,G8,H4:H20)</f>
        <v>20501</v>
      </c>
      <c r="M23" s="4">
        <f>SUMIF(G4:G20,G8,M4:M20)</f>
        <v>28103.676470588238</v>
      </c>
      <c r="Q23" s="25"/>
    </row>
    <row r="24" spans="4:17" x14ac:dyDescent="0.25">
      <c r="J24" s="3" t="s">
        <v>36</v>
      </c>
      <c r="K24" s="27">
        <f>K21-K23</f>
        <v>40489</v>
      </c>
      <c r="M24" s="27">
        <f>M21-M23</f>
        <v>53700</v>
      </c>
      <c r="Q24" s="25"/>
    </row>
    <row r="25" spans="4:17" x14ac:dyDescent="0.25">
      <c r="Q25" s="25"/>
    </row>
    <row r="26" spans="4:17" x14ac:dyDescent="0.25">
      <c r="K26" s="3" t="s">
        <v>48</v>
      </c>
      <c r="L26" s="29" t="s">
        <v>49</v>
      </c>
      <c r="Q26" s="25"/>
    </row>
    <row r="27" spans="4:17" x14ac:dyDescent="0.25">
      <c r="J27" s="30" t="str">
        <f>B4</f>
        <v xml:space="preserve">Cloud Infra </v>
      </c>
      <c r="K27" s="6">
        <f>SUMIF(F4:F20,J27,K4:K20)</f>
        <v>2940</v>
      </c>
      <c r="L27" s="25">
        <f>K27/PROJECT_COST</f>
        <v>4.8204623708804725E-2</v>
      </c>
      <c r="Q27" s="25"/>
    </row>
    <row r="28" spans="4:17" x14ac:dyDescent="0.25">
      <c r="J28" s="30" t="str">
        <f>B5</f>
        <v xml:space="preserve">Installations </v>
      </c>
      <c r="K28" s="6">
        <f>SUMIF(F4:F20,J28,K4:K20)</f>
        <v>2100</v>
      </c>
      <c r="L28" s="25">
        <f>K28/PROJECT_COST</f>
        <v>3.443187407771766E-2</v>
      </c>
      <c r="Q28" s="25"/>
    </row>
    <row r="29" spans="4:17" x14ac:dyDescent="0.25">
      <c r="J29" s="30" t="str">
        <f>B6</f>
        <v>Hardware Maintenance</v>
      </c>
      <c r="K29" s="6">
        <f>SUMIF(F5:F21,J29,K5:K21)</f>
        <v>3600</v>
      </c>
      <c r="L29" s="25">
        <f>K29/PROJECT_COST</f>
        <v>5.9026069847515988E-2</v>
      </c>
      <c r="Q29" s="25"/>
    </row>
    <row r="30" spans="4:17" x14ac:dyDescent="0.25">
      <c r="J30" s="30" t="str">
        <f>B7</f>
        <v xml:space="preserve">Manpower (Software) </v>
      </c>
      <c r="K30" s="6">
        <f>SUMIF(F4:F20,J30,K4:K20)</f>
        <v>35000</v>
      </c>
      <c r="L30" s="25">
        <f>K30/PROJECT_COST</f>
        <v>0.57386456796196095</v>
      </c>
      <c r="Q30" s="25"/>
    </row>
    <row r="31" spans="4:17" x14ac:dyDescent="0.25">
      <c r="J31" s="30" t="str">
        <f>B8</f>
        <v xml:space="preserve">Manpower (Tech) </v>
      </c>
      <c r="K31" s="6">
        <f>SUMIF(F4:F20,J31,K4:K20)</f>
        <v>0</v>
      </c>
      <c r="L31" s="25">
        <f>K31/PROJECT_COST</f>
        <v>0</v>
      </c>
      <c r="Q31" s="25"/>
    </row>
    <row r="32" spans="4:17" x14ac:dyDescent="0.25">
      <c r="J32" s="30" t="str">
        <f>B9</f>
        <v>Hardware</v>
      </c>
      <c r="K32" s="6">
        <f>SUMIF(F4:F20,J32,K4:K20)</f>
        <v>12880</v>
      </c>
      <c r="L32" s="25">
        <f>K32/PROJECT_COST</f>
        <v>0.21118216101000165</v>
      </c>
    </row>
    <row r="33" spans="10:12" x14ac:dyDescent="0.25">
      <c r="J33" s="30" t="str">
        <f>B10</f>
        <v>Software Tools</v>
      </c>
      <c r="K33" s="6">
        <f>SUMIF(F4:F20,J33,K4:K20)</f>
        <v>4050</v>
      </c>
      <c r="L33" s="25">
        <f>K33/PROJECT_COST</f>
        <v>6.640432857845549E-2</v>
      </c>
    </row>
    <row r="34" spans="10:12" x14ac:dyDescent="0.25">
      <c r="J34" s="30" t="str">
        <f>B11</f>
        <v>Infrastructure</v>
      </c>
      <c r="K34" s="6">
        <f>SUMIF(F4:F20,J34,K4:K20)</f>
        <v>420</v>
      </c>
      <c r="L34" s="25">
        <f>K34/PROJECT_COST</f>
        <v>6.8863748155435318E-3</v>
      </c>
    </row>
    <row r="35" spans="10:12" x14ac:dyDescent="0.25">
      <c r="J35" s="30"/>
      <c r="K35" s="27">
        <f>SUM(K27:K34)</f>
        <v>60990</v>
      </c>
      <c r="L35" s="29">
        <f>SUM(L27:L34)</f>
        <v>1</v>
      </c>
    </row>
  </sheetData>
  <mergeCells count="1">
    <mergeCell ref="U2:X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7BBDC-C6F0-4FC1-8E71-84A5A91B890C}">
  <dimension ref="A2:H45"/>
  <sheetViews>
    <sheetView tabSelected="1" workbookViewId="0">
      <selection activeCell="G8" sqref="G8"/>
    </sheetView>
  </sheetViews>
  <sheetFormatPr defaultRowHeight="15" x14ac:dyDescent="0.25"/>
  <cols>
    <col min="1" max="1" width="9.140625" style="36"/>
    <col min="2" max="2" width="14.42578125" customWidth="1"/>
    <col min="3" max="3" width="17.7109375" bestFit="1" customWidth="1"/>
    <col min="4" max="4" width="17.7109375" customWidth="1"/>
    <col min="5" max="5" width="14.7109375" customWidth="1"/>
    <col min="6" max="6" width="17" customWidth="1"/>
    <col min="7" max="7" width="15.140625" customWidth="1"/>
    <col min="8" max="8" width="13.140625" customWidth="1"/>
  </cols>
  <sheetData>
    <row r="2" spans="1:8" s="38" customFormat="1" ht="30" x14ac:dyDescent="0.25">
      <c r="B2" s="38" t="s">
        <v>22</v>
      </c>
      <c r="C2" s="38" t="s">
        <v>119</v>
      </c>
      <c r="D2" s="39" t="s">
        <v>127</v>
      </c>
      <c r="E2" s="39" t="s">
        <v>120</v>
      </c>
      <c r="F2" s="39" t="s">
        <v>121</v>
      </c>
      <c r="G2" s="39" t="s">
        <v>125</v>
      </c>
      <c r="H2" s="39" t="s">
        <v>126</v>
      </c>
    </row>
    <row r="3" spans="1:8" x14ac:dyDescent="0.25">
      <c r="A3" s="36" t="s">
        <v>77</v>
      </c>
      <c r="B3" s="40"/>
      <c r="C3" s="41">
        <f>SUM(Sheet1!H11,Sheet1!H12,Sheet1!H13,Sheet1!H14)</f>
        <v>80</v>
      </c>
      <c r="D3" s="41">
        <f>Sheet1!H5</f>
        <v>8000</v>
      </c>
      <c r="E3" s="41">
        <f>Sheet1!H4</f>
        <v>3000</v>
      </c>
      <c r="F3" s="42">
        <f>SUM(B3:E3)</f>
        <v>11080</v>
      </c>
      <c r="G3" s="43">
        <f>Sheet1!X4</f>
        <v>0</v>
      </c>
      <c r="H3" s="37">
        <f>G3-F3</f>
        <v>-11080</v>
      </c>
    </row>
    <row r="4" spans="1:8" x14ac:dyDescent="0.25">
      <c r="A4" s="36" t="s">
        <v>78</v>
      </c>
      <c r="B4" s="41">
        <v>12800</v>
      </c>
      <c r="C4" s="41">
        <f>C3</f>
        <v>80</v>
      </c>
      <c r="D4" s="41"/>
      <c r="E4" s="41">
        <f>E3</f>
        <v>3000</v>
      </c>
      <c r="F4" s="41">
        <f>SUM(B4:E4)</f>
        <v>15880</v>
      </c>
      <c r="G4" s="43"/>
      <c r="H4" s="37">
        <f>G4-F4+H3</f>
        <v>-26960</v>
      </c>
    </row>
    <row r="5" spans="1:8" x14ac:dyDescent="0.25">
      <c r="A5" s="36" t="s">
        <v>79</v>
      </c>
      <c r="B5" s="40"/>
      <c r="C5" s="41">
        <f t="shared" ref="C5:C44" si="0">C4</f>
        <v>80</v>
      </c>
      <c r="D5" s="41"/>
      <c r="E5" s="41">
        <f>E4</f>
        <v>3000</v>
      </c>
      <c r="F5" s="41">
        <f>SUM(B5:E5)</f>
        <v>3080</v>
      </c>
      <c r="G5" s="44"/>
      <c r="H5" s="37">
        <f>G5-F5+H4</f>
        <v>-30040</v>
      </c>
    </row>
    <row r="6" spans="1:8" x14ac:dyDescent="0.25">
      <c r="A6" s="36" t="s">
        <v>80</v>
      </c>
      <c r="B6" s="40"/>
      <c r="C6" s="41">
        <f t="shared" si="0"/>
        <v>80</v>
      </c>
      <c r="D6" s="41"/>
      <c r="E6" s="41">
        <f>E5</f>
        <v>3000</v>
      </c>
      <c r="F6" s="41">
        <f>SUM(B6:E6)</f>
        <v>3080</v>
      </c>
      <c r="G6" s="44"/>
      <c r="H6" s="37">
        <f>G6-F6+H5</f>
        <v>-33120</v>
      </c>
    </row>
    <row r="7" spans="1:8" x14ac:dyDescent="0.25">
      <c r="A7" s="36" t="s">
        <v>81</v>
      </c>
      <c r="B7" s="40"/>
      <c r="C7" s="41">
        <f t="shared" si="0"/>
        <v>80</v>
      </c>
      <c r="D7" s="41"/>
      <c r="E7" s="41">
        <f>E6</f>
        <v>3000</v>
      </c>
      <c r="F7" s="41">
        <f>SUM(B7:E7)</f>
        <v>3080</v>
      </c>
      <c r="G7" s="44"/>
      <c r="H7" s="37">
        <f>G7-F7+H6</f>
        <v>-36200</v>
      </c>
    </row>
    <row r="8" spans="1:8" x14ac:dyDescent="0.25">
      <c r="A8" s="36" t="s">
        <v>82</v>
      </c>
      <c r="B8" s="40"/>
      <c r="C8" s="41">
        <f t="shared" si="0"/>
        <v>80</v>
      </c>
      <c r="D8" s="41"/>
      <c r="E8" s="41">
        <f>E7</f>
        <v>3000</v>
      </c>
      <c r="F8" s="41">
        <f>SUM(B8:E8)</f>
        <v>3080</v>
      </c>
      <c r="G8" s="43">
        <f>Sheet1!X5</f>
        <v>53816</v>
      </c>
      <c r="H8" s="37">
        <f>G8-F8+H7</f>
        <v>14536</v>
      </c>
    </row>
    <row r="9" spans="1:8" x14ac:dyDescent="0.25">
      <c r="A9" s="36" t="s">
        <v>83</v>
      </c>
      <c r="B9" s="40"/>
      <c r="C9" s="41">
        <f t="shared" si="0"/>
        <v>80</v>
      </c>
      <c r="D9" s="41"/>
      <c r="E9" s="41">
        <v>1000</v>
      </c>
      <c r="F9" s="41">
        <f>SUM(B9:E9)</f>
        <v>1080</v>
      </c>
      <c r="G9" s="43"/>
      <c r="H9" s="37">
        <f>G9-F9+H8</f>
        <v>13456</v>
      </c>
    </row>
    <row r="10" spans="1:8" x14ac:dyDescent="0.25">
      <c r="A10" s="36" t="s">
        <v>84</v>
      </c>
      <c r="B10" s="40"/>
      <c r="C10" s="41">
        <f t="shared" si="0"/>
        <v>80</v>
      </c>
      <c r="D10" s="41"/>
      <c r="E10" s="41">
        <v>1000</v>
      </c>
      <c r="F10" s="41">
        <f>SUM(B10:E10)</f>
        <v>1080</v>
      </c>
      <c r="G10" s="44"/>
      <c r="H10" s="37">
        <f t="shared" ref="H10:H44" si="1">G10-F10+H9</f>
        <v>12376</v>
      </c>
    </row>
    <row r="11" spans="1:8" x14ac:dyDescent="0.25">
      <c r="A11" s="36" t="s">
        <v>85</v>
      </c>
      <c r="B11" s="40"/>
      <c r="C11" s="41">
        <f t="shared" si="0"/>
        <v>80</v>
      </c>
      <c r="D11" s="41"/>
      <c r="E11" s="41">
        <v>1000</v>
      </c>
      <c r="F11" s="41">
        <f>SUM(B11:E11)</f>
        <v>1080</v>
      </c>
      <c r="G11" s="44"/>
      <c r="H11" s="37">
        <f t="shared" si="1"/>
        <v>11296</v>
      </c>
    </row>
    <row r="12" spans="1:8" x14ac:dyDescent="0.25">
      <c r="A12" s="36" t="s">
        <v>86</v>
      </c>
      <c r="B12" s="40"/>
      <c r="C12" s="41">
        <f t="shared" si="0"/>
        <v>80</v>
      </c>
      <c r="D12" s="41"/>
      <c r="E12" s="41">
        <v>1000</v>
      </c>
      <c r="F12" s="41">
        <f>SUM(B12:E12)</f>
        <v>1080</v>
      </c>
      <c r="G12" s="44"/>
      <c r="H12" s="37">
        <f t="shared" si="1"/>
        <v>10216</v>
      </c>
    </row>
    <row r="13" spans="1:8" x14ac:dyDescent="0.25">
      <c r="A13" s="36" t="s">
        <v>87</v>
      </c>
      <c r="B13" s="40"/>
      <c r="C13" s="41">
        <f t="shared" si="0"/>
        <v>80</v>
      </c>
      <c r="D13" s="41"/>
      <c r="E13" s="41">
        <v>1000</v>
      </c>
      <c r="F13" s="41">
        <f>SUM(B13:E13)</f>
        <v>1080</v>
      </c>
      <c r="G13" s="44"/>
      <c r="H13" s="37">
        <f t="shared" si="1"/>
        <v>9136</v>
      </c>
    </row>
    <row r="14" spans="1:8" x14ac:dyDescent="0.25">
      <c r="A14" s="36" t="s">
        <v>88</v>
      </c>
      <c r="B14" s="40"/>
      <c r="C14" s="41">
        <f t="shared" si="0"/>
        <v>80</v>
      </c>
      <c r="D14" s="41"/>
      <c r="E14" s="41">
        <v>1000</v>
      </c>
      <c r="F14" s="41">
        <f>SUM(B14:E14)</f>
        <v>1080</v>
      </c>
      <c r="G14" s="44"/>
      <c r="H14" s="37">
        <f t="shared" si="1"/>
        <v>8056</v>
      </c>
    </row>
    <row r="15" spans="1:8" x14ac:dyDescent="0.25">
      <c r="A15" s="36" t="s">
        <v>89</v>
      </c>
      <c r="B15" s="40"/>
      <c r="C15" s="41">
        <f t="shared" si="0"/>
        <v>80</v>
      </c>
      <c r="D15" s="41"/>
      <c r="E15" s="41">
        <v>600</v>
      </c>
      <c r="F15" s="41">
        <f>SUM(B15:E15)</f>
        <v>680</v>
      </c>
      <c r="G15" s="44"/>
      <c r="H15" s="37">
        <f t="shared" si="1"/>
        <v>7376</v>
      </c>
    </row>
    <row r="16" spans="1:8" x14ac:dyDescent="0.25">
      <c r="A16" s="36" t="s">
        <v>90</v>
      </c>
      <c r="B16" s="40"/>
      <c r="C16" s="41">
        <f t="shared" si="0"/>
        <v>80</v>
      </c>
      <c r="D16" s="41"/>
      <c r="E16" s="41">
        <v>600</v>
      </c>
      <c r="F16" s="41">
        <f>SUM(B16:E16)</f>
        <v>680</v>
      </c>
      <c r="G16" s="44"/>
      <c r="H16" s="37">
        <f t="shared" si="1"/>
        <v>6696</v>
      </c>
    </row>
    <row r="17" spans="1:8" x14ac:dyDescent="0.25">
      <c r="A17" s="36" t="s">
        <v>91</v>
      </c>
      <c r="B17" s="40"/>
      <c r="C17" s="41">
        <f t="shared" si="0"/>
        <v>80</v>
      </c>
      <c r="D17" s="41"/>
      <c r="E17" s="41">
        <v>600</v>
      </c>
      <c r="F17" s="41">
        <f>SUM(B17:E17)</f>
        <v>680</v>
      </c>
      <c r="G17" s="44"/>
      <c r="H17" s="37">
        <f t="shared" si="1"/>
        <v>6016</v>
      </c>
    </row>
    <row r="18" spans="1:8" x14ac:dyDescent="0.25">
      <c r="A18" s="36" t="s">
        <v>92</v>
      </c>
      <c r="B18" s="40"/>
      <c r="C18" s="41">
        <f t="shared" si="0"/>
        <v>80</v>
      </c>
      <c r="D18" s="41"/>
      <c r="E18" s="41">
        <v>600</v>
      </c>
      <c r="F18" s="41">
        <f>SUM(B18:E18)</f>
        <v>680</v>
      </c>
      <c r="G18" s="44"/>
      <c r="H18" s="37">
        <f t="shared" si="1"/>
        <v>5336</v>
      </c>
    </row>
    <row r="19" spans="1:8" x14ac:dyDescent="0.25">
      <c r="A19" s="36" t="s">
        <v>93</v>
      </c>
      <c r="B19" s="40"/>
      <c r="C19" s="41">
        <f t="shared" si="0"/>
        <v>80</v>
      </c>
      <c r="D19" s="41"/>
      <c r="E19" s="41">
        <v>600</v>
      </c>
      <c r="F19" s="41">
        <f>SUM(B19:E19)</f>
        <v>680</v>
      </c>
      <c r="G19" s="44"/>
      <c r="H19" s="37">
        <f t="shared" si="1"/>
        <v>4656</v>
      </c>
    </row>
    <row r="20" spans="1:8" x14ac:dyDescent="0.25">
      <c r="A20" s="36" t="s">
        <v>94</v>
      </c>
      <c r="B20" s="40"/>
      <c r="C20" s="41">
        <f t="shared" si="0"/>
        <v>80</v>
      </c>
      <c r="D20" s="41"/>
      <c r="E20" s="41">
        <v>600</v>
      </c>
      <c r="F20" s="41">
        <f>SUM(B20:E20)</f>
        <v>680</v>
      </c>
      <c r="G20" s="43">
        <f>Sheet1!X7</f>
        <v>11532</v>
      </c>
      <c r="H20" s="37">
        <f t="shared" si="1"/>
        <v>15508</v>
      </c>
    </row>
    <row r="21" spans="1:8" x14ac:dyDescent="0.25">
      <c r="A21" s="36" t="s">
        <v>95</v>
      </c>
      <c r="B21" s="40"/>
      <c r="C21" s="41">
        <f t="shared" si="0"/>
        <v>80</v>
      </c>
      <c r="D21" s="41"/>
      <c r="E21" s="41">
        <v>600</v>
      </c>
      <c r="F21" s="41">
        <f>SUM(B21:E21)</f>
        <v>680</v>
      </c>
      <c r="G21" s="43"/>
      <c r="H21" s="37">
        <f t="shared" si="1"/>
        <v>14828</v>
      </c>
    </row>
    <row r="22" spans="1:8" x14ac:dyDescent="0.25">
      <c r="A22" s="36" t="s">
        <v>96</v>
      </c>
      <c r="B22" s="40"/>
      <c r="C22" s="41">
        <f t="shared" si="0"/>
        <v>80</v>
      </c>
      <c r="D22" s="41"/>
      <c r="E22" s="41">
        <v>600</v>
      </c>
      <c r="F22" s="41">
        <f>SUM(B22:E22)</f>
        <v>680</v>
      </c>
      <c r="G22" s="44"/>
      <c r="H22" s="37">
        <f t="shared" si="1"/>
        <v>14148</v>
      </c>
    </row>
    <row r="23" spans="1:8" x14ac:dyDescent="0.25">
      <c r="A23" s="36" t="s">
        <v>97</v>
      </c>
      <c r="B23" s="40"/>
      <c r="C23" s="41">
        <f t="shared" si="0"/>
        <v>80</v>
      </c>
      <c r="D23" s="41"/>
      <c r="E23" s="41">
        <v>600</v>
      </c>
      <c r="F23" s="41">
        <f>SUM(B23:E23)</f>
        <v>680</v>
      </c>
      <c r="G23" s="44"/>
      <c r="H23" s="37">
        <f t="shared" si="1"/>
        <v>13468</v>
      </c>
    </row>
    <row r="24" spans="1:8" x14ac:dyDescent="0.25">
      <c r="A24" s="36" t="s">
        <v>98</v>
      </c>
      <c r="B24" s="40"/>
      <c r="C24" s="41">
        <f t="shared" si="0"/>
        <v>80</v>
      </c>
      <c r="D24" s="41"/>
      <c r="E24" s="41">
        <v>600</v>
      </c>
      <c r="F24" s="41">
        <f>SUM(B24:E24)</f>
        <v>680</v>
      </c>
      <c r="G24" s="44"/>
      <c r="H24" s="37">
        <f t="shared" si="1"/>
        <v>12788</v>
      </c>
    </row>
    <row r="25" spans="1:8" x14ac:dyDescent="0.25">
      <c r="A25" s="36" t="s">
        <v>99</v>
      </c>
      <c r="B25" s="40"/>
      <c r="C25" s="41">
        <f t="shared" si="0"/>
        <v>80</v>
      </c>
      <c r="D25" s="41"/>
      <c r="E25" s="41">
        <v>600</v>
      </c>
      <c r="F25" s="41">
        <f>SUM(B25:E25)</f>
        <v>680</v>
      </c>
      <c r="G25" s="44"/>
      <c r="H25" s="37">
        <f t="shared" si="1"/>
        <v>12108</v>
      </c>
    </row>
    <row r="26" spans="1:8" x14ac:dyDescent="0.25">
      <c r="A26" s="36" t="s">
        <v>100</v>
      </c>
      <c r="B26" s="40"/>
      <c r="C26" s="41">
        <f t="shared" si="0"/>
        <v>80</v>
      </c>
      <c r="D26" s="41"/>
      <c r="E26" s="41">
        <v>600</v>
      </c>
      <c r="F26" s="41">
        <f>SUM(B26:E26)</f>
        <v>680</v>
      </c>
      <c r="G26" s="44"/>
      <c r="H26" s="37">
        <f t="shared" si="1"/>
        <v>11428</v>
      </c>
    </row>
    <row r="27" spans="1:8" x14ac:dyDescent="0.25">
      <c r="A27" s="36" t="s">
        <v>101</v>
      </c>
      <c r="B27" s="40"/>
      <c r="C27" s="41">
        <f t="shared" si="0"/>
        <v>80</v>
      </c>
      <c r="D27" s="41"/>
      <c r="E27" s="41">
        <v>600</v>
      </c>
      <c r="F27" s="41">
        <f>SUM(B27:E27)</f>
        <v>680</v>
      </c>
      <c r="G27" s="44"/>
      <c r="H27" s="37">
        <f t="shared" si="1"/>
        <v>10748</v>
      </c>
    </row>
    <row r="28" spans="1:8" x14ac:dyDescent="0.25">
      <c r="A28" s="36" t="s">
        <v>102</v>
      </c>
      <c r="B28" s="40"/>
      <c r="C28" s="41">
        <f t="shared" si="0"/>
        <v>80</v>
      </c>
      <c r="D28" s="41"/>
      <c r="E28" s="41">
        <v>600</v>
      </c>
      <c r="F28" s="41">
        <f>SUM(B28:E28)</f>
        <v>680</v>
      </c>
      <c r="G28" s="44"/>
      <c r="H28" s="37">
        <f t="shared" si="1"/>
        <v>10068</v>
      </c>
    </row>
    <row r="29" spans="1:8" x14ac:dyDescent="0.25">
      <c r="A29" s="36" t="s">
        <v>103</v>
      </c>
      <c r="B29" s="40"/>
      <c r="C29" s="41">
        <f t="shared" si="0"/>
        <v>80</v>
      </c>
      <c r="D29" s="41"/>
      <c r="E29" s="41">
        <v>600</v>
      </c>
      <c r="F29" s="41">
        <f>SUM(B29:E29)</f>
        <v>680</v>
      </c>
      <c r="G29" s="44"/>
      <c r="H29" s="37">
        <f t="shared" si="1"/>
        <v>9388</v>
      </c>
    </row>
    <row r="30" spans="1:8" x14ac:dyDescent="0.25">
      <c r="A30" s="36" t="s">
        <v>104</v>
      </c>
      <c r="B30" s="40"/>
      <c r="C30" s="41">
        <f t="shared" si="0"/>
        <v>80</v>
      </c>
      <c r="D30" s="41"/>
      <c r="E30" s="41">
        <v>600</v>
      </c>
      <c r="F30" s="41">
        <f>SUM(B30:E30)</f>
        <v>680</v>
      </c>
      <c r="G30" s="44"/>
      <c r="H30" s="37">
        <f t="shared" si="1"/>
        <v>8708</v>
      </c>
    </row>
    <row r="31" spans="1:8" x14ac:dyDescent="0.25">
      <c r="A31" s="36" t="s">
        <v>105</v>
      </c>
      <c r="B31" s="40"/>
      <c r="C31" s="41">
        <f t="shared" si="0"/>
        <v>80</v>
      </c>
      <c r="D31" s="41"/>
      <c r="E31" s="41">
        <v>600</v>
      </c>
      <c r="F31" s="41">
        <f>SUM(B31:E31)</f>
        <v>680</v>
      </c>
      <c r="G31" s="44"/>
      <c r="H31" s="37">
        <f t="shared" si="1"/>
        <v>8028</v>
      </c>
    </row>
    <row r="32" spans="1:8" x14ac:dyDescent="0.25">
      <c r="A32" s="36" t="s">
        <v>106</v>
      </c>
      <c r="B32" s="40"/>
      <c r="C32" s="41">
        <f t="shared" si="0"/>
        <v>80</v>
      </c>
      <c r="D32" s="41"/>
      <c r="E32" s="41">
        <v>600</v>
      </c>
      <c r="F32" s="41">
        <f>SUM(B32:E32)</f>
        <v>680</v>
      </c>
      <c r="G32" s="43">
        <f>Sheet1!X8</f>
        <v>11532</v>
      </c>
      <c r="H32" s="37">
        <f t="shared" si="1"/>
        <v>18880</v>
      </c>
    </row>
    <row r="33" spans="1:8" x14ac:dyDescent="0.25">
      <c r="A33" s="36" t="s">
        <v>107</v>
      </c>
      <c r="B33" s="40"/>
      <c r="C33" s="41">
        <f t="shared" si="0"/>
        <v>80</v>
      </c>
      <c r="D33" s="41"/>
      <c r="E33" s="41">
        <v>600</v>
      </c>
      <c r="F33" s="41">
        <f>SUM(B33:E33)</f>
        <v>680</v>
      </c>
      <c r="G33" s="44"/>
      <c r="H33" s="37">
        <f t="shared" si="1"/>
        <v>18200</v>
      </c>
    </row>
    <row r="34" spans="1:8" x14ac:dyDescent="0.25">
      <c r="A34" s="36" t="s">
        <v>108</v>
      </c>
      <c r="B34" s="40"/>
      <c r="C34" s="41">
        <f t="shared" si="0"/>
        <v>80</v>
      </c>
      <c r="D34" s="41"/>
      <c r="E34" s="41">
        <v>600</v>
      </c>
      <c r="F34" s="41">
        <f>SUM(B34:E34)</f>
        <v>680</v>
      </c>
      <c r="G34" s="44"/>
      <c r="H34" s="37">
        <f t="shared" si="1"/>
        <v>17520</v>
      </c>
    </row>
    <row r="35" spans="1:8" x14ac:dyDescent="0.25">
      <c r="A35" s="36" t="s">
        <v>109</v>
      </c>
      <c r="B35" s="40"/>
      <c r="C35" s="41">
        <f t="shared" si="0"/>
        <v>80</v>
      </c>
      <c r="D35" s="41"/>
      <c r="E35" s="41">
        <v>600</v>
      </c>
      <c r="F35" s="41">
        <f>SUM(B35:E35)</f>
        <v>680</v>
      </c>
      <c r="G35" s="44"/>
      <c r="H35" s="37">
        <f t="shared" si="1"/>
        <v>16840</v>
      </c>
    </row>
    <row r="36" spans="1:8" x14ac:dyDescent="0.25">
      <c r="A36" s="36" t="s">
        <v>110</v>
      </c>
      <c r="B36" s="40"/>
      <c r="C36" s="41">
        <f t="shared" si="0"/>
        <v>80</v>
      </c>
      <c r="D36" s="41"/>
      <c r="E36" s="41">
        <v>600</v>
      </c>
      <c r="F36" s="41">
        <f>SUM(B36:E36)</f>
        <v>680</v>
      </c>
      <c r="G36" s="44"/>
      <c r="H36" s="37">
        <f t="shared" si="1"/>
        <v>16160</v>
      </c>
    </row>
    <row r="37" spans="1:8" x14ac:dyDescent="0.25">
      <c r="A37" s="36" t="s">
        <v>111</v>
      </c>
      <c r="B37" s="40"/>
      <c r="C37" s="41">
        <f t="shared" si="0"/>
        <v>80</v>
      </c>
      <c r="D37" s="41"/>
      <c r="E37" s="41">
        <v>600</v>
      </c>
      <c r="F37" s="41">
        <f>SUM(B37:E37)</f>
        <v>680</v>
      </c>
      <c r="G37" s="44"/>
      <c r="H37" s="37">
        <f t="shared" si="1"/>
        <v>15480</v>
      </c>
    </row>
    <row r="38" spans="1:8" x14ac:dyDescent="0.25">
      <c r="A38" s="36" t="s">
        <v>112</v>
      </c>
      <c r="B38" s="40"/>
      <c r="C38" s="41">
        <f t="shared" si="0"/>
        <v>80</v>
      </c>
      <c r="D38" s="41"/>
      <c r="E38" s="41">
        <v>600</v>
      </c>
      <c r="F38" s="41">
        <f>SUM(B38:E38)</f>
        <v>680</v>
      </c>
      <c r="G38" s="44"/>
      <c r="H38" s="37">
        <f t="shared" si="1"/>
        <v>14800</v>
      </c>
    </row>
    <row r="39" spans="1:8" x14ac:dyDescent="0.25">
      <c r="A39" s="36" t="s">
        <v>113</v>
      </c>
      <c r="B39" s="40"/>
      <c r="C39" s="41">
        <f t="shared" si="0"/>
        <v>80</v>
      </c>
      <c r="D39" s="41"/>
      <c r="E39" s="41">
        <v>600</v>
      </c>
      <c r="F39" s="41">
        <f>SUM(B39:E39)</f>
        <v>680</v>
      </c>
      <c r="G39" s="44"/>
      <c r="H39" s="37">
        <f t="shared" si="1"/>
        <v>14120</v>
      </c>
    </row>
    <row r="40" spans="1:8" x14ac:dyDescent="0.25">
      <c r="A40" s="36" t="s">
        <v>114</v>
      </c>
      <c r="B40" s="40"/>
      <c r="C40" s="41">
        <f t="shared" si="0"/>
        <v>80</v>
      </c>
      <c r="D40" s="41"/>
      <c r="E40" s="41">
        <v>600</v>
      </c>
      <c r="F40" s="41">
        <f>SUM(B40:E40)</f>
        <v>680</v>
      </c>
      <c r="G40" s="44"/>
      <c r="H40" s="37">
        <f t="shared" si="1"/>
        <v>13440</v>
      </c>
    </row>
    <row r="41" spans="1:8" x14ac:dyDescent="0.25">
      <c r="A41" s="36" t="s">
        <v>115</v>
      </c>
      <c r="B41" s="40"/>
      <c r="C41" s="41">
        <f t="shared" si="0"/>
        <v>80</v>
      </c>
      <c r="D41" s="41"/>
      <c r="E41" s="41">
        <v>600</v>
      </c>
      <c r="F41" s="41">
        <f>SUM(B41:E41)</f>
        <v>680</v>
      </c>
      <c r="G41" s="44"/>
      <c r="H41" s="37">
        <f t="shared" si="1"/>
        <v>12760</v>
      </c>
    </row>
    <row r="42" spans="1:8" x14ac:dyDescent="0.25">
      <c r="A42" s="36" t="s">
        <v>116</v>
      </c>
      <c r="B42" s="40"/>
      <c r="C42" s="41">
        <f t="shared" si="0"/>
        <v>80</v>
      </c>
      <c r="D42" s="41"/>
      <c r="E42" s="41">
        <v>600</v>
      </c>
      <c r="F42" s="41">
        <f>SUM(B42:E42)</f>
        <v>680</v>
      </c>
      <c r="G42" s="44"/>
      <c r="H42" s="37">
        <f t="shared" si="1"/>
        <v>12080</v>
      </c>
    </row>
    <row r="43" spans="1:8" x14ac:dyDescent="0.25">
      <c r="A43" s="36" t="s">
        <v>117</v>
      </c>
      <c r="B43" s="40"/>
      <c r="C43" s="41">
        <f t="shared" si="0"/>
        <v>80</v>
      </c>
      <c r="D43" s="41"/>
      <c r="E43" s="41">
        <v>600</v>
      </c>
      <c r="F43" s="41">
        <f>SUM(B43:E43)</f>
        <v>680</v>
      </c>
      <c r="G43" s="44"/>
      <c r="H43" s="37">
        <f t="shared" si="1"/>
        <v>11400</v>
      </c>
    </row>
    <row r="44" spans="1:8" x14ac:dyDescent="0.25">
      <c r="A44" s="36" t="s">
        <v>118</v>
      </c>
      <c r="B44" s="40"/>
      <c r="C44" s="41">
        <f t="shared" si="0"/>
        <v>80</v>
      </c>
      <c r="D44" s="41"/>
      <c r="E44" s="41">
        <v>600</v>
      </c>
      <c r="F44" s="41">
        <f>SUM(B44:E44)</f>
        <v>680</v>
      </c>
      <c r="G44" s="44"/>
      <c r="H44" s="37">
        <f t="shared" si="1"/>
        <v>10720</v>
      </c>
    </row>
    <row r="45" spans="1:8" x14ac:dyDescent="0.25">
      <c r="F45" s="45">
        <f>SUM(F3:F44)</f>
        <v>66160</v>
      </c>
      <c r="G45" s="45">
        <f>SUM(G3:G44)</f>
        <v>76880</v>
      </c>
    </row>
  </sheetData>
  <phoneticPr fontId="8" type="noConversion"/>
  <conditionalFormatting sqref="H1:H1048576">
    <cfRule type="cellIs" dxfId="1" priority="1" operator="greaterThan">
      <formula>0</formula>
    </cfRule>
    <cfRule type="cellIs" dxfId="0" priority="2" operator="less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429C4-7095-4F5F-9B2C-F925663556B5}">
  <dimension ref="B5:F20"/>
  <sheetViews>
    <sheetView topLeftCell="A2" workbookViewId="0">
      <selection activeCell="B21" sqref="B21"/>
    </sheetView>
  </sheetViews>
  <sheetFormatPr defaultRowHeight="15" x14ac:dyDescent="0.25"/>
  <cols>
    <col min="2" max="2" width="78.5703125" bestFit="1" customWidth="1"/>
    <col min="3" max="3" width="10.5703125" bestFit="1" customWidth="1"/>
    <col min="4" max="4" width="11.5703125" bestFit="1" customWidth="1"/>
  </cols>
  <sheetData>
    <row r="5" spans="2:6" x14ac:dyDescent="0.25">
      <c r="B5" t="s">
        <v>34</v>
      </c>
      <c r="C5" s="2">
        <v>4000</v>
      </c>
      <c r="D5" s="2">
        <f>C5*12</f>
        <v>48000</v>
      </c>
      <c r="E5">
        <v>1300</v>
      </c>
      <c r="F5">
        <f>D5/E5</f>
        <v>36.92307692307692</v>
      </c>
    </row>
    <row r="7" spans="2:6" x14ac:dyDescent="0.25">
      <c r="B7" s="1" t="s">
        <v>61</v>
      </c>
    </row>
    <row r="8" spans="2:6" x14ac:dyDescent="0.25">
      <c r="B8" t="s">
        <v>51</v>
      </c>
    </row>
    <row r="9" spans="2:6" x14ac:dyDescent="0.25">
      <c r="B9" t="s">
        <v>52</v>
      </c>
    </row>
    <row r="10" spans="2:6" x14ac:dyDescent="0.25">
      <c r="B10" t="s">
        <v>53</v>
      </c>
    </row>
    <row r="11" spans="2:6" x14ac:dyDescent="0.25">
      <c r="B11" t="s">
        <v>54</v>
      </c>
    </row>
    <row r="12" spans="2:6" x14ac:dyDescent="0.25">
      <c r="B12" t="s">
        <v>55</v>
      </c>
    </row>
    <row r="13" spans="2:6" x14ac:dyDescent="0.25">
      <c r="B13" t="s">
        <v>56</v>
      </c>
    </row>
    <row r="14" spans="2:6" x14ac:dyDescent="0.25">
      <c r="B14" t="s">
        <v>57</v>
      </c>
    </row>
    <row r="15" spans="2:6" x14ac:dyDescent="0.25">
      <c r="B15" t="s">
        <v>58</v>
      </c>
    </row>
    <row r="16" spans="2:6" x14ac:dyDescent="0.25">
      <c r="B16" t="s">
        <v>59</v>
      </c>
    </row>
    <row r="17" spans="2:2" x14ac:dyDescent="0.25">
      <c r="B17" t="s">
        <v>60</v>
      </c>
    </row>
    <row r="18" spans="2:2" x14ac:dyDescent="0.25">
      <c r="B18" t="s">
        <v>62</v>
      </c>
    </row>
    <row r="19" spans="2:2" x14ac:dyDescent="0.25">
      <c r="B19" t="s">
        <v>63</v>
      </c>
    </row>
    <row r="20" spans="2:2" x14ac:dyDescent="0.25">
      <c r="B20" t="s">
        <v>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Sheet1</vt:lpstr>
      <vt:lpstr>Projection</vt:lpstr>
      <vt:lpstr>Sheet2</vt:lpstr>
      <vt:lpstr>BID_AMOUNT</vt:lpstr>
      <vt:lpstr>PROJECT_COST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BeyondSensor</dc:creator>
  <cp:lastModifiedBy>Yong Yan Foo</cp:lastModifiedBy>
  <dcterms:created xsi:type="dcterms:W3CDTF">2015-06-05T18:17:20Z</dcterms:created>
  <dcterms:modified xsi:type="dcterms:W3CDTF">2026-10-22T11:31:46Z</dcterms:modified>
</cp:coreProperties>
</file>