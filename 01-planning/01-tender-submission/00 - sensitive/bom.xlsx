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ev\ngee-ann-booking-system\01-planning\01-tender-submission\00 - sensitive\"/>
    </mc:Choice>
  </mc:AlternateContent>
  <xr:revisionPtr revIDLastSave="0" documentId="13_ncr:1_{AD1F196C-49E2-4F2A-8634-A16855EC48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</sheets>
  <definedNames>
    <definedName name="PROJECT_COST">Sheet1!$K$21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F5" i="2" s="1"/>
  <c r="S4" i="1"/>
  <c r="S5" i="1"/>
  <c r="S6" i="1"/>
  <c r="S7" i="1"/>
  <c r="H4" i="1"/>
  <c r="K4" i="1" s="1"/>
  <c r="F9" i="1"/>
  <c r="F12" i="1"/>
  <c r="F13" i="1" s="1"/>
  <c r="F14" i="1" s="1"/>
  <c r="J28" i="1"/>
  <c r="J29" i="1"/>
  <c r="J30" i="1"/>
  <c r="J31" i="1"/>
  <c r="K31" i="1" s="1"/>
  <c r="J32" i="1"/>
  <c r="J33" i="1"/>
  <c r="J34" i="1"/>
  <c r="K34" i="1" s="1"/>
  <c r="J27" i="1"/>
  <c r="K27" i="1" s="1"/>
  <c r="K23" i="1"/>
  <c r="K17" i="1"/>
  <c r="M17" i="1" s="1"/>
  <c r="K18" i="1"/>
  <c r="M18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M23" i="1" l="1"/>
  <c r="K33" i="1"/>
  <c r="K32" i="1"/>
  <c r="K28" i="1"/>
  <c r="K29" i="1"/>
  <c r="M4" i="1"/>
  <c r="M21" i="1" s="1"/>
  <c r="Q3" i="1" s="1"/>
  <c r="S3" i="1" s="1"/>
  <c r="K30" i="1"/>
  <c r="K21" i="1"/>
  <c r="L33" i="1" l="1"/>
  <c r="L32" i="1"/>
  <c r="L28" i="1"/>
  <c r="L30" i="1"/>
  <c r="L29" i="1"/>
  <c r="L34" i="1"/>
  <c r="L27" i="1"/>
  <c r="L31" i="1"/>
  <c r="K24" i="1"/>
  <c r="P3" i="1"/>
  <c r="K35" i="1"/>
  <c r="M24" i="1"/>
  <c r="L35" i="1" l="1"/>
  <c r="R3" i="1"/>
  <c r="P4" i="1"/>
  <c r="P5" i="1" l="1"/>
  <c r="R4" i="1"/>
  <c r="P6" i="1" l="1"/>
  <c r="R5" i="1"/>
  <c r="R6" i="1" l="1"/>
  <c r="P7" i="1"/>
  <c r="R7" i="1" s="1"/>
</calcChain>
</file>

<file path=xl/sharedStrings.xml><?xml version="1.0" encoding="utf-8"?>
<sst xmlns="http://schemas.openxmlformats.org/spreadsheetml/2006/main" count="101" uniqueCount="67">
  <si>
    <t xml:space="preserve">Classifications </t>
  </si>
  <si>
    <t xml:space="preserve">Installations </t>
  </si>
  <si>
    <t>Hardware Maintenance</t>
  </si>
  <si>
    <t xml:space="preserve">Manpower (Software) </t>
  </si>
  <si>
    <t xml:space="preserve">Manpower (Tech) </t>
  </si>
  <si>
    <t xml:space="preserve">Project Implementation and Delivery </t>
  </si>
  <si>
    <t xml:space="preserve">Qty </t>
  </si>
  <si>
    <t>Line-Total</t>
  </si>
  <si>
    <t xml:space="preserve">Months </t>
  </si>
  <si>
    <t xml:space="preserve">Project Management </t>
  </si>
  <si>
    <t xml:space="preserve">AI Development Tools (Codex / Antigravity) </t>
  </si>
  <si>
    <t xml:space="preserve">Locker Equipment / Staging </t>
  </si>
  <si>
    <t xml:space="preserve">LOT </t>
  </si>
  <si>
    <t>UOM</t>
  </si>
  <si>
    <t xml:space="preserve">Cloud Infra </t>
  </si>
  <si>
    <t xml:space="preserve">Locker Setup and Installation </t>
  </si>
  <si>
    <t xml:space="preserve">4G Router </t>
  </si>
  <si>
    <t xml:space="preserve">Man Days </t>
  </si>
  <si>
    <t xml:space="preserve">Supabase Instance </t>
  </si>
  <si>
    <t xml:space="preserve">Vercel Hosting + Web Hosting </t>
  </si>
  <si>
    <t xml:space="preserve">Resend </t>
  </si>
  <si>
    <t xml:space="preserve">Mini PC for Gateway Controller + Lock Controls </t>
  </si>
  <si>
    <t>Hardware</t>
  </si>
  <si>
    <t>Software Tools</t>
  </si>
  <si>
    <t xml:space="preserve">Unit Costs </t>
  </si>
  <si>
    <t xml:space="preserve">Outsource Development Effort </t>
  </si>
  <si>
    <t xml:space="preserve">S/N </t>
  </si>
  <si>
    <t>Margin</t>
  </si>
  <si>
    <t xml:space="preserve">Sub-Total </t>
  </si>
  <si>
    <t xml:space="preserve">Annual </t>
  </si>
  <si>
    <t xml:space="preserve">Labelling and Setup </t>
  </si>
  <si>
    <t xml:space="preserve">Label Stickers </t>
  </si>
  <si>
    <t xml:space="preserve">Item </t>
  </si>
  <si>
    <t>Capex</t>
  </si>
  <si>
    <t xml:space="preserve">Monthly </t>
  </si>
  <si>
    <t>CAPEX</t>
  </si>
  <si>
    <t>OPEX</t>
  </si>
  <si>
    <t>Infrastructure</t>
  </si>
  <si>
    <t>4G SIM Card Subscription</t>
  </si>
  <si>
    <t xml:space="preserve">Software Development Team Engagement (15%) </t>
  </si>
  <si>
    <t>Maintenance (Quarterly Trip + Remote + Software)</t>
  </si>
  <si>
    <t>Option 1</t>
  </si>
  <si>
    <t>Option 2</t>
  </si>
  <si>
    <t>Option 3</t>
  </si>
  <si>
    <t>Option 4</t>
  </si>
  <si>
    <t xml:space="preserve">1. Make more if we can resolve the locker and retrofit with existing (Save 12k) </t>
  </si>
  <si>
    <t>2. Development time should be reduced</t>
  </si>
  <si>
    <t xml:space="preserve">3. Development and Hosting Low Risks </t>
  </si>
  <si>
    <t xml:space="preserve">Breakdown </t>
  </si>
  <si>
    <t>Percentage</t>
  </si>
  <si>
    <t>Option 5</t>
  </si>
  <si>
    <t xml:space="preserve">Cloud Storage Cost Increase since last 4 Years </t>
  </si>
  <si>
    <t xml:space="preserve">Additional Cloud Operation Storage </t>
  </si>
  <si>
    <t xml:space="preserve">Development Effort Need to keep track in Tech Stacks + Cyber Security Requirements </t>
  </si>
  <si>
    <t xml:space="preserve">Email + Hosting Costs </t>
  </si>
  <si>
    <t xml:space="preserve">Workflow Optimizations </t>
  </si>
  <si>
    <t xml:space="preserve">Additional Support for Project and Teams Under Quoted </t>
  </si>
  <si>
    <t xml:space="preserve">Cloud Infrastructure Setup </t>
  </si>
  <si>
    <t xml:space="preserve">Mobile App Enhancements </t>
  </si>
  <si>
    <t xml:space="preserve">Cloud Storage and Infra Costs went Up </t>
  </si>
  <si>
    <t xml:space="preserve">Miradore + Works </t>
  </si>
  <si>
    <t xml:space="preserve">Reasons Increased for Cloud Setup </t>
  </si>
  <si>
    <t xml:space="preserve">Additional Development Efforts </t>
  </si>
  <si>
    <t xml:space="preserve">Meeting and Resouces Overhead </t>
  </si>
  <si>
    <t xml:space="preserve">Cybersecurity Costs </t>
  </si>
  <si>
    <t>Equipment</t>
  </si>
  <si>
    <t>4G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</si>
</sst>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2"/>
      <name val="Aptos"/>
      <family val="2"/>
    </font>
    <font>
      <b/>
      <sz val="11"/>
      <color theme="2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44" fontId="0" fillId="0" borderId="0" xfId="1" applyFont="1"/>
    <xf numFmtId="0" fontId="3" fillId="0" borderId="0" xfId="0" applyFont="1"/>
    <xf numFmtId="44" fontId="3" fillId="0" borderId="0" xfId="1" applyFont="1"/>
    <xf numFmtId="0" fontId="4" fillId="0" borderId="0" xfId="0" applyFont="1"/>
    <xf numFmtId="44" fontId="4" fillId="0" borderId="0" xfId="1" applyFont="1"/>
    <xf numFmtId="44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44" fontId="3" fillId="0" borderId="1" xfId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44" fontId="3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44" fontId="5" fillId="2" borderId="1" xfId="1" applyFont="1" applyFill="1" applyBorder="1"/>
    <xf numFmtId="44" fontId="6" fillId="2" borderId="1" xfId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44" fontId="4" fillId="0" borderId="0" xfId="1" applyFont="1" applyAlignment="1">
      <alignment horizontal="center"/>
    </xf>
    <xf numFmtId="9" fontId="6" fillId="2" borderId="1" xfId="2" applyFont="1" applyFill="1" applyBorder="1" applyAlignment="1">
      <alignment horizontal="center"/>
    </xf>
    <xf numFmtId="9" fontId="4" fillId="0" borderId="1" xfId="2" applyFont="1" applyBorder="1" applyAlignment="1">
      <alignment horizontal="center"/>
    </xf>
    <xf numFmtId="9" fontId="5" fillId="2" borderId="1" xfId="2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44" fontId="3" fillId="0" borderId="0" xfId="0" applyNumberFormat="1" applyFont="1"/>
    <xf numFmtId="44" fontId="4" fillId="0" borderId="0" xfId="2" applyNumberFormat="1" applyFont="1" applyAlignment="1">
      <alignment horizontal="center"/>
    </xf>
    <xf numFmtId="9" fontId="3" fillId="0" borderId="0" xfId="2" applyFont="1" applyAlignment="1">
      <alignment horizontal="center"/>
    </xf>
    <xf numFmtId="0" fontId="3" fillId="0" borderId="0" xfId="0" applyFont="1" applyAlignment="1">
      <alignment horizontal="right"/>
    </xf>
    <xf numFmtId="44" fontId="3" fillId="0" borderId="0" xfId="0" applyNumberFormat="1" applyFont="1" applyAlignment="1">
      <alignment horizontal="center"/>
    </xf>
    <xf numFmtId="0" fontId="7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35"/>
  <sheetViews>
    <sheetView tabSelected="1" topLeftCell="B1" zoomScale="160" zoomScaleNormal="160" workbookViewId="0">
      <selection activeCell="J16" sqref="J16"/>
    </sheetView>
  </sheetViews>
  <sheetFormatPr defaultRowHeight="15" x14ac:dyDescent="0.25"/>
  <cols>
    <col min="1" max="1" width="9.140625" style="5"/>
    <col min="2" max="2" width="22" style="5" bestFit="1" customWidth="1"/>
    <col min="3" max="3" width="2.5703125" style="5" customWidth="1"/>
    <col min="4" max="4" width="7" style="8" customWidth="1"/>
    <col min="5" max="5" width="46.140625" style="6" customWidth="1"/>
    <col min="6" max="6" width="21.42578125" style="8" customWidth="1"/>
    <col min="7" max="7" width="10.85546875" style="8" customWidth="1"/>
    <col min="8" max="8" width="14" style="5" customWidth="1"/>
    <col min="9" max="9" width="6.7109375" style="21" customWidth="1"/>
    <col min="10" max="10" width="23.140625" style="5" bestFit="1" customWidth="1"/>
    <col min="11" max="11" width="14.7109375" style="5" customWidth="1"/>
    <col min="12" max="12" width="12.42578125" style="25" bestFit="1" customWidth="1"/>
    <col min="13" max="13" width="15" style="5" customWidth="1"/>
    <col min="14" max="14" width="9.140625" style="5"/>
    <col min="15" max="15" width="17.85546875" style="5" customWidth="1"/>
    <col min="16" max="16" width="15.140625" style="5" customWidth="1"/>
    <col min="17" max="17" width="17.85546875" style="5" customWidth="1"/>
    <col min="18" max="18" width="7.42578125" style="8" customWidth="1"/>
    <col min="19" max="19" width="9.140625" style="8"/>
    <col min="20" max="16384" width="9.140625" style="5"/>
  </cols>
  <sheetData>
    <row r="3" spans="2:19" x14ac:dyDescent="0.25">
      <c r="B3" s="9" t="s">
        <v>0</v>
      </c>
      <c r="C3" s="3"/>
      <c r="D3" s="19" t="s">
        <v>26</v>
      </c>
      <c r="E3" s="20" t="s">
        <v>5</v>
      </c>
      <c r="F3" s="19" t="s">
        <v>0</v>
      </c>
      <c r="G3" s="19"/>
      <c r="H3" s="18" t="s">
        <v>24</v>
      </c>
      <c r="I3" s="19" t="s">
        <v>6</v>
      </c>
      <c r="J3" s="20" t="s">
        <v>13</v>
      </c>
      <c r="K3" s="18" t="s">
        <v>7</v>
      </c>
      <c r="L3" s="22" t="s">
        <v>27</v>
      </c>
      <c r="M3" s="18" t="s">
        <v>28</v>
      </c>
      <c r="O3" s="28" t="s">
        <v>41</v>
      </c>
      <c r="P3" s="7">
        <f>K21</f>
        <v>60910</v>
      </c>
      <c r="Q3" s="27">
        <f>M21</f>
        <v>81703.676470588238</v>
      </c>
      <c r="R3" s="25">
        <f>(Q3-P3)/Q3</f>
        <v>0.25450111144109366</v>
      </c>
      <c r="S3" s="30">
        <f>Q3/1800/36</f>
        <v>1.2608592047930283</v>
      </c>
    </row>
    <row r="4" spans="2:19" x14ac:dyDescent="0.25">
      <c r="B4" s="11" t="s">
        <v>14</v>
      </c>
      <c r="D4" s="12">
        <v>1</v>
      </c>
      <c r="E4" s="11" t="s">
        <v>39</v>
      </c>
      <c r="F4" s="12" t="s">
        <v>3</v>
      </c>
      <c r="G4" s="12" t="s">
        <v>36</v>
      </c>
      <c r="H4" s="13">
        <f>4000*0.75</f>
        <v>3000</v>
      </c>
      <c r="I4" s="12">
        <v>6</v>
      </c>
      <c r="J4" s="11" t="s">
        <v>8</v>
      </c>
      <c r="K4" s="10">
        <f>I4*H4</f>
        <v>18000</v>
      </c>
      <c r="L4" s="23">
        <v>0.4</v>
      </c>
      <c r="M4" s="14">
        <f>K4/(1-L4)</f>
        <v>30000</v>
      </c>
      <c r="O4" s="28" t="s">
        <v>42</v>
      </c>
      <c r="P4" s="7">
        <f>P3</f>
        <v>60910</v>
      </c>
      <c r="Q4" s="27">
        <v>81800</v>
      </c>
      <c r="R4" s="25">
        <f>(Q4-P4)/Q4</f>
        <v>0.25537897310513447</v>
      </c>
      <c r="S4" s="30">
        <f t="shared" ref="S4:S7" si="0">Q4/1800/36</f>
        <v>1.2623456790123457</v>
      </c>
    </row>
    <row r="5" spans="2:19" x14ac:dyDescent="0.25">
      <c r="B5" s="11" t="s">
        <v>1</v>
      </c>
      <c r="D5" s="12">
        <v>2</v>
      </c>
      <c r="E5" s="11" t="s">
        <v>25</v>
      </c>
      <c r="F5" s="12" t="s">
        <v>3</v>
      </c>
      <c r="G5" s="12" t="s">
        <v>33</v>
      </c>
      <c r="H5" s="13">
        <v>8000</v>
      </c>
      <c r="I5" s="12">
        <v>1</v>
      </c>
      <c r="J5" s="11" t="s">
        <v>8</v>
      </c>
      <c r="K5" s="10">
        <f>I5*H5</f>
        <v>8000</v>
      </c>
      <c r="L5" s="23">
        <v>0</v>
      </c>
      <c r="M5" s="14">
        <f t="shared" ref="M5:M18" si="1">K5/(1-L5)</f>
        <v>8000</v>
      </c>
      <c r="O5" s="28" t="s">
        <v>43</v>
      </c>
      <c r="P5" s="7">
        <f>P4</f>
        <v>60910</v>
      </c>
      <c r="Q5" s="27">
        <v>76800</v>
      </c>
      <c r="R5" s="25">
        <f>(Q5-P5)/Q5</f>
        <v>0.20690104166666667</v>
      </c>
      <c r="S5" s="30">
        <f t="shared" si="0"/>
        <v>1.1851851851851851</v>
      </c>
    </row>
    <row r="6" spans="2:19" x14ac:dyDescent="0.25">
      <c r="B6" s="11" t="s">
        <v>2</v>
      </c>
      <c r="D6" s="12">
        <v>3</v>
      </c>
      <c r="E6" s="11" t="s">
        <v>9</v>
      </c>
      <c r="F6" s="12" t="s">
        <v>3</v>
      </c>
      <c r="G6" s="12" t="s">
        <v>36</v>
      </c>
      <c r="H6" s="13">
        <v>1500</v>
      </c>
      <c r="I6" s="12">
        <v>6</v>
      </c>
      <c r="J6" s="11" t="s">
        <v>8</v>
      </c>
      <c r="K6" s="10">
        <f>I6*H6</f>
        <v>9000</v>
      </c>
      <c r="L6" s="23">
        <v>0.2</v>
      </c>
      <c r="M6" s="14">
        <f t="shared" si="1"/>
        <v>11250</v>
      </c>
      <c r="O6" s="28" t="s">
        <v>44</v>
      </c>
      <c r="P6" s="7">
        <f>P5</f>
        <v>60910</v>
      </c>
      <c r="Q6" s="27">
        <v>73680</v>
      </c>
      <c r="R6" s="25">
        <f>(Q6-P6)/Q6</f>
        <v>0.17331704668838219</v>
      </c>
      <c r="S6" s="30">
        <f t="shared" si="0"/>
        <v>1.1370370370370368</v>
      </c>
    </row>
    <row r="7" spans="2:19" x14ac:dyDescent="0.25">
      <c r="B7" s="11" t="s">
        <v>3</v>
      </c>
      <c r="D7" s="12">
        <v>4</v>
      </c>
      <c r="E7" s="11" t="s">
        <v>10</v>
      </c>
      <c r="F7" s="12" t="s">
        <v>23</v>
      </c>
      <c r="G7" s="12" t="s">
        <v>36</v>
      </c>
      <c r="H7" s="13">
        <v>500</v>
      </c>
      <c r="I7" s="12">
        <v>6</v>
      </c>
      <c r="J7" s="11" t="s">
        <v>8</v>
      </c>
      <c r="K7" s="10">
        <f>I7*H7</f>
        <v>3000</v>
      </c>
      <c r="L7" s="23">
        <v>0.2</v>
      </c>
      <c r="M7" s="14">
        <f t="shared" si="1"/>
        <v>3750</v>
      </c>
      <c r="O7" s="28" t="s">
        <v>50</v>
      </c>
      <c r="P7" s="7">
        <f>P6</f>
        <v>60910</v>
      </c>
      <c r="Q7" s="27">
        <v>69800</v>
      </c>
      <c r="R7" s="25">
        <f>(Q7-P7)/Q7</f>
        <v>0.12736389684813754</v>
      </c>
      <c r="S7" s="30">
        <f t="shared" si="0"/>
        <v>1.0771604938271606</v>
      </c>
    </row>
    <row r="8" spans="2:19" x14ac:dyDescent="0.25">
      <c r="B8" s="11" t="s">
        <v>4</v>
      </c>
      <c r="D8" s="12">
        <v>5</v>
      </c>
      <c r="E8" s="11" t="s">
        <v>11</v>
      </c>
      <c r="F8" s="12" t="s">
        <v>22</v>
      </c>
      <c r="G8" s="12" t="s">
        <v>33</v>
      </c>
      <c r="H8" s="13">
        <v>11000</v>
      </c>
      <c r="I8" s="12">
        <v>1</v>
      </c>
      <c r="J8" s="11" t="s">
        <v>12</v>
      </c>
      <c r="K8" s="10">
        <f>I8*H8</f>
        <v>11000</v>
      </c>
      <c r="L8" s="23">
        <v>0.15</v>
      </c>
      <c r="M8" s="14">
        <f t="shared" si="1"/>
        <v>12941.176470588236</v>
      </c>
      <c r="Q8" s="25"/>
    </row>
    <row r="9" spans="2:19" x14ac:dyDescent="0.25">
      <c r="B9" s="11" t="s">
        <v>22</v>
      </c>
      <c r="D9" s="12">
        <v>6</v>
      </c>
      <c r="E9" s="11" t="s">
        <v>15</v>
      </c>
      <c r="F9" s="12" t="str">
        <f>B5</f>
        <v xml:space="preserve">Installations </v>
      </c>
      <c r="G9" s="12" t="s">
        <v>33</v>
      </c>
      <c r="H9" s="13">
        <v>350</v>
      </c>
      <c r="I9" s="12">
        <v>6</v>
      </c>
      <c r="J9" s="11" t="s">
        <v>17</v>
      </c>
      <c r="K9" s="10">
        <f>I9*H9</f>
        <v>2100</v>
      </c>
      <c r="L9" s="23">
        <v>0.4</v>
      </c>
      <c r="M9" s="14">
        <f t="shared" si="1"/>
        <v>3500</v>
      </c>
      <c r="O9" s="31" t="s">
        <v>45</v>
      </c>
      <c r="Q9" s="25"/>
    </row>
    <row r="10" spans="2:19" x14ac:dyDescent="0.25">
      <c r="B10" s="11" t="s">
        <v>23</v>
      </c>
      <c r="D10" s="12">
        <v>7</v>
      </c>
      <c r="E10" s="11" t="s">
        <v>16</v>
      </c>
      <c r="F10" s="12" t="s">
        <v>22</v>
      </c>
      <c r="G10" s="12" t="s">
        <v>33</v>
      </c>
      <c r="H10" s="13">
        <v>200</v>
      </c>
      <c r="I10" s="12">
        <v>1</v>
      </c>
      <c r="J10" s="11" t="s">
        <v>65</v>
      </c>
      <c r="K10" s="10">
        <f t="shared" ref="K10:K18" si="2">I10*H10</f>
        <v>200</v>
      </c>
      <c r="L10" s="23">
        <v>0.2</v>
      </c>
      <c r="M10" s="14">
        <f t="shared" si="1"/>
        <v>250</v>
      </c>
      <c r="O10" s="31" t="s">
        <v>46</v>
      </c>
      <c r="Q10" s="25"/>
    </row>
    <row r="11" spans="2:19" x14ac:dyDescent="0.25">
      <c r="B11" s="11" t="s">
        <v>37</v>
      </c>
      <c r="D11" s="12">
        <v>8</v>
      </c>
      <c r="E11" s="11" t="s">
        <v>38</v>
      </c>
      <c r="F11" s="8" t="s">
        <v>37</v>
      </c>
      <c r="G11" s="12" t="s">
        <v>36</v>
      </c>
      <c r="H11" s="13">
        <v>10</v>
      </c>
      <c r="I11" s="12">
        <v>42</v>
      </c>
      <c r="J11" s="11" t="s">
        <v>66</v>
      </c>
      <c r="K11" s="10">
        <f t="shared" si="2"/>
        <v>420</v>
      </c>
      <c r="L11" s="23">
        <v>0.2</v>
      </c>
      <c r="M11" s="14">
        <f t="shared" si="1"/>
        <v>525</v>
      </c>
      <c r="O11" s="31" t="s">
        <v>47</v>
      </c>
      <c r="Q11" s="25"/>
    </row>
    <row r="12" spans="2:19" x14ac:dyDescent="0.25">
      <c r="D12" s="12">
        <v>9</v>
      </c>
      <c r="E12" s="11" t="s">
        <v>18</v>
      </c>
      <c r="F12" s="12" t="str">
        <f>B4</f>
        <v xml:space="preserve">Cloud Infra </v>
      </c>
      <c r="G12" s="12" t="s">
        <v>36</v>
      </c>
      <c r="H12" s="13">
        <v>20</v>
      </c>
      <c r="I12" s="12">
        <v>42</v>
      </c>
      <c r="J12" s="11" t="s">
        <v>8</v>
      </c>
      <c r="K12" s="10">
        <f t="shared" si="2"/>
        <v>840</v>
      </c>
      <c r="L12" s="23">
        <v>0.2</v>
      </c>
      <c r="M12" s="14">
        <f t="shared" si="1"/>
        <v>1050</v>
      </c>
      <c r="O12" s="31"/>
      <c r="Q12" s="25"/>
    </row>
    <row r="13" spans="2:19" x14ac:dyDescent="0.25">
      <c r="D13" s="12">
        <v>10</v>
      </c>
      <c r="E13" s="11" t="s">
        <v>19</v>
      </c>
      <c r="F13" s="12" t="str">
        <f>F12</f>
        <v xml:space="preserve">Cloud Infra </v>
      </c>
      <c r="G13" s="12" t="s">
        <v>36</v>
      </c>
      <c r="H13" s="13">
        <v>30</v>
      </c>
      <c r="I13" s="12">
        <v>42</v>
      </c>
      <c r="J13" s="11" t="s">
        <v>8</v>
      </c>
      <c r="K13" s="10">
        <f t="shared" si="2"/>
        <v>1260</v>
      </c>
      <c r="L13" s="23">
        <v>0.2</v>
      </c>
      <c r="M13" s="14">
        <f t="shared" si="1"/>
        <v>1575</v>
      </c>
      <c r="O13" s="31"/>
      <c r="Q13" s="25"/>
    </row>
    <row r="14" spans="2:19" x14ac:dyDescent="0.25">
      <c r="D14" s="12">
        <v>11</v>
      </c>
      <c r="E14" s="11" t="s">
        <v>20</v>
      </c>
      <c r="F14" s="12" t="str">
        <f>F13</f>
        <v xml:space="preserve">Cloud Infra </v>
      </c>
      <c r="G14" s="12" t="s">
        <v>36</v>
      </c>
      <c r="H14" s="13">
        <v>20</v>
      </c>
      <c r="I14" s="12">
        <v>42</v>
      </c>
      <c r="J14" s="11" t="s">
        <v>8</v>
      </c>
      <c r="K14" s="10">
        <f t="shared" si="2"/>
        <v>840</v>
      </c>
      <c r="L14" s="23">
        <v>0.2</v>
      </c>
      <c r="M14" s="14">
        <f t="shared" si="1"/>
        <v>1050</v>
      </c>
      <c r="O14" s="31"/>
      <c r="Q14" s="25"/>
    </row>
    <row r="15" spans="2:19" x14ac:dyDescent="0.25">
      <c r="D15" s="12">
        <v>12</v>
      </c>
      <c r="E15" s="11" t="s">
        <v>21</v>
      </c>
      <c r="F15" s="12" t="s">
        <v>22</v>
      </c>
      <c r="G15" s="12" t="s">
        <v>33</v>
      </c>
      <c r="H15" s="13">
        <v>600</v>
      </c>
      <c r="I15" s="12">
        <v>1</v>
      </c>
      <c r="J15" s="11" t="s">
        <v>22</v>
      </c>
      <c r="K15" s="10">
        <f t="shared" si="2"/>
        <v>600</v>
      </c>
      <c r="L15" s="23">
        <v>0.2</v>
      </c>
      <c r="M15" s="14">
        <f t="shared" si="1"/>
        <v>750</v>
      </c>
      <c r="O15" s="31"/>
      <c r="Q15" s="25"/>
    </row>
    <row r="16" spans="2:19" x14ac:dyDescent="0.25">
      <c r="D16" s="12">
        <v>13</v>
      </c>
      <c r="E16" s="11" t="s">
        <v>40</v>
      </c>
      <c r="F16" s="8" t="s">
        <v>2</v>
      </c>
      <c r="G16" s="12" t="s">
        <v>36</v>
      </c>
      <c r="H16" s="13">
        <v>1200</v>
      </c>
      <c r="I16" s="12">
        <v>3</v>
      </c>
      <c r="J16" s="11" t="s">
        <v>29</v>
      </c>
      <c r="K16" s="10">
        <f t="shared" si="2"/>
        <v>3600</v>
      </c>
      <c r="L16" s="23">
        <v>0.2</v>
      </c>
      <c r="M16" s="14">
        <f t="shared" si="1"/>
        <v>4500</v>
      </c>
      <c r="Q16" s="25"/>
    </row>
    <row r="17" spans="4:17" x14ac:dyDescent="0.25">
      <c r="D17" s="12">
        <v>14</v>
      </c>
      <c r="E17" s="11" t="s">
        <v>30</v>
      </c>
      <c r="F17" s="12" t="s">
        <v>23</v>
      </c>
      <c r="G17" s="12" t="s">
        <v>33</v>
      </c>
      <c r="H17" s="13">
        <v>350</v>
      </c>
      <c r="I17" s="12">
        <v>3</v>
      </c>
      <c r="J17" s="11" t="s">
        <v>17</v>
      </c>
      <c r="K17" s="10">
        <f t="shared" si="2"/>
        <v>1050</v>
      </c>
      <c r="L17" s="23">
        <v>0.2</v>
      </c>
      <c r="M17" s="14">
        <f t="shared" si="1"/>
        <v>1312.5</v>
      </c>
      <c r="Q17" s="25"/>
    </row>
    <row r="18" spans="4:17" x14ac:dyDescent="0.25">
      <c r="D18" s="12">
        <v>15</v>
      </c>
      <c r="E18" s="11" t="s">
        <v>31</v>
      </c>
      <c r="F18" s="12" t="s">
        <v>22</v>
      </c>
      <c r="G18" s="12" t="s">
        <v>33</v>
      </c>
      <c r="H18" s="13">
        <v>1</v>
      </c>
      <c r="I18" s="12">
        <v>1000</v>
      </c>
      <c r="J18" s="11" t="s">
        <v>32</v>
      </c>
      <c r="K18" s="10">
        <f t="shared" si="2"/>
        <v>1000</v>
      </c>
      <c r="L18" s="23">
        <v>0.2</v>
      </c>
      <c r="M18" s="14">
        <f t="shared" si="1"/>
        <v>1250</v>
      </c>
      <c r="Q18" s="25"/>
    </row>
    <row r="19" spans="4:17" x14ac:dyDescent="0.25">
      <c r="D19" s="12"/>
      <c r="E19" s="11"/>
      <c r="F19" s="12"/>
      <c r="G19" s="12"/>
      <c r="H19" s="13"/>
      <c r="I19" s="12"/>
      <c r="J19" s="11"/>
      <c r="K19" s="13"/>
      <c r="L19" s="23"/>
      <c r="M19" s="9"/>
    </row>
    <row r="20" spans="4:17" x14ac:dyDescent="0.25">
      <c r="D20" s="12"/>
      <c r="E20" s="11"/>
      <c r="F20" s="12"/>
      <c r="G20" s="12"/>
      <c r="H20" s="13"/>
      <c r="I20" s="12"/>
      <c r="J20" s="11"/>
      <c r="K20" s="13"/>
      <c r="L20" s="23"/>
      <c r="M20" s="9"/>
    </row>
    <row r="21" spans="4:17" x14ac:dyDescent="0.25">
      <c r="D21" s="15"/>
      <c r="E21" s="16"/>
      <c r="F21" s="15"/>
      <c r="G21" s="15"/>
      <c r="H21" s="17"/>
      <c r="I21" s="15"/>
      <c r="J21" s="16"/>
      <c r="K21" s="18">
        <f>SUM(K4:K20)</f>
        <v>60910</v>
      </c>
      <c r="L21" s="24"/>
      <c r="M21" s="18">
        <f>SUM(M4:M20)</f>
        <v>81703.676470588238</v>
      </c>
    </row>
    <row r="23" spans="4:17" x14ac:dyDescent="0.25">
      <c r="J23" s="3" t="s">
        <v>35</v>
      </c>
      <c r="K23" s="4">
        <f>SUMIF(G4:G20,G8,H4:H20)</f>
        <v>20501</v>
      </c>
      <c r="M23" s="4">
        <f>SUMIF(G4:G20,G8,M4:M20)</f>
        <v>28003.676470588238</v>
      </c>
      <c r="Q23" s="25"/>
    </row>
    <row r="24" spans="4:17" x14ac:dyDescent="0.25">
      <c r="J24" s="3" t="s">
        <v>36</v>
      </c>
      <c r="K24" s="26">
        <f>K21-K23</f>
        <v>40409</v>
      </c>
      <c r="M24" s="26">
        <f>M21-M23</f>
        <v>53700</v>
      </c>
      <c r="Q24" s="25"/>
    </row>
    <row r="25" spans="4:17" x14ac:dyDescent="0.25">
      <c r="Q25" s="25"/>
    </row>
    <row r="26" spans="4:17" x14ac:dyDescent="0.25">
      <c r="K26" s="3" t="s">
        <v>48</v>
      </c>
      <c r="L26" s="28" t="s">
        <v>49</v>
      </c>
      <c r="Q26" s="25"/>
    </row>
    <row r="27" spans="4:17" x14ac:dyDescent="0.25">
      <c r="J27" s="29" t="str">
        <f>B4</f>
        <v xml:space="preserve">Cloud Infra </v>
      </c>
      <c r="K27" s="6">
        <f>SUMIF(F4:F20,J27,K4:K20)</f>
        <v>2940</v>
      </c>
      <c r="L27" s="25">
        <f>K27/PROJECT_COST</f>
        <v>4.826793629945822E-2</v>
      </c>
      <c r="Q27" s="25"/>
    </row>
    <row r="28" spans="4:17" x14ac:dyDescent="0.25">
      <c r="J28" s="29" t="str">
        <f>B5</f>
        <v xml:space="preserve">Installations </v>
      </c>
      <c r="K28" s="6">
        <f>SUMIF(F4:F20,J28,K4:K20)</f>
        <v>2100</v>
      </c>
      <c r="L28" s="25">
        <f>K28/PROJECT_COST</f>
        <v>3.4477097356755866E-2</v>
      </c>
      <c r="Q28" s="25"/>
    </row>
    <row r="29" spans="4:17" x14ac:dyDescent="0.25">
      <c r="J29" s="29" t="str">
        <f>B6</f>
        <v>Hardware Maintenance</v>
      </c>
      <c r="K29" s="6">
        <f>SUMIF(F5:F21,J29,K5:K21)</f>
        <v>3600</v>
      </c>
      <c r="L29" s="25">
        <f>K29/PROJECT_COST</f>
        <v>5.9103595468724346E-2</v>
      </c>
      <c r="Q29" s="25"/>
    </row>
    <row r="30" spans="4:17" x14ac:dyDescent="0.25">
      <c r="J30" s="29" t="str">
        <f>B7</f>
        <v xml:space="preserve">Manpower (Software) </v>
      </c>
      <c r="K30" s="6">
        <f>SUMIF(F4:F20,J30,K4:K20)</f>
        <v>35000</v>
      </c>
      <c r="L30" s="25">
        <f>K30/PROJECT_COST</f>
        <v>0.5746182892792645</v>
      </c>
      <c r="Q30" s="25"/>
    </row>
    <row r="31" spans="4:17" x14ac:dyDescent="0.25">
      <c r="J31" s="29" t="str">
        <f>B8</f>
        <v xml:space="preserve">Manpower (Tech) </v>
      </c>
      <c r="K31" s="6">
        <f>SUMIF(F4:F20,J31,K4:K20)</f>
        <v>0</v>
      </c>
      <c r="L31" s="25">
        <f>K31/PROJECT_COST</f>
        <v>0</v>
      </c>
      <c r="Q31" s="25"/>
    </row>
    <row r="32" spans="4:17" x14ac:dyDescent="0.25">
      <c r="J32" s="29" t="str">
        <f>B9</f>
        <v>Hardware</v>
      </c>
      <c r="K32" s="6">
        <f>SUMIF(F4:F20,J32,K4:K20)</f>
        <v>12800</v>
      </c>
      <c r="L32" s="25">
        <f>K32/PROJECT_COST</f>
        <v>0.210146117222131</v>
      </c>
    </row>
    <row r="33" spans="10:12" x14ac:dyDescent="0.25">
      <c r="J33" s="29" t="str">
        <f>B10</f>
        <v>Software Tools</v>
      </c>
      <c r="K33" s="6">
        <f>SUMIF(F4:F20,J33,K4:K20)</f>
        <v>4050</v>
      </c>
      <c r="L33" s="25">
        <f>K33/PROJECT_COST</f>
        <v>6.6491544902314889E-2</v>
      </c>
    </row>
    <row r="34" spans="10:12" x14ac:dyDescent="0.25">
      <c r="J34" s="29" t="str">
        <f>B11</f>
        <v>Infrastructure</v>
      </c>
      <c r="K34" s="6">
        <f>SUMIF(F4:F20,J34,K4:K20)</f>
        <v>420</v>
      </c>
      <c r="L34" s="25">
        <f>K34/PROJECT_COST</f>
        <v>6.8954194713511741E-3</v>
      </c>
    </row>
    <row r="35" spans="10:12" x14ac:dyDescent="0.25">
      <c r="J35" s="29"/>
      <c r="K35" s="26">
        <f>SUM(K27:K34)</f>
        <v>60910</v>
      </c>
      <c r="L35" s="28">
        <f>SUM(L27:L34)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29C4-7095-4F5F-9B2C-F925663556B5}">
  <dimension ref="B5:F20"/>
  <sheetViews>
    <sheetView topLeftCell="A2" workbookViewId="0">
      <selection activeCell="B21" sqref="B21"/>
    </sheetView>
  </sheetViews>
  <sheetFormatPr defaultRowHeight="15" x14ac:dyDescent="0.25"/>
  <cols>
    <col min="2" max="2" width="78.5703125" bestFit="1" customWidth="1"/>
    <col min="3" max="3" width="10.5703125" bestFit="1" customWidth="1"/>
    <col min="4" max="4" width="11.5703125" bestFit="1" customWidth="1"/>
  </cols>
  <sheetData>
    <row r="5" spans="2:6" x14ac:dyDescent="0.25">
      <c r="B5" t="s">
        <v>34</v>
      </c>
      <c r="C5" s="2">
        <v>4000</v>
      </c>
      <c r="D5" s="2">
        <f>C5*12</f>
        <v>48000</v>
      </c>
      <c r="E5">
        <v>1300</v>
      </c>
      <c r="F5">
        <f>D5/E5</f>
        <v>36.92307692307692</v>
      </c>
    </row>
    <row r="7" spans="2:6" x14ac:dyDescent="0.25">
      <c r="B7" s="1" t="s">
        <v>61</v>
      </c>
    </row>
    <row r="8" spans="2:6" x14ac:dyDescent="0.25">
      <c r="B8" t="s">
        <v>51</v>
      </c>
    </row>
    <row r="9" spans="2:6" x14ac:dyDescent="0.25">
      <c r="B9" t="s">
        <v>52</v>
      </c>
    </row>
    <row r="10" spans="2:6" x14ac:dyDescent="0.25">
      <c r="B10" t="s">
        <v>53</v>
      </c>
    </row>
    <row r="11" spans="2:6" x14ac:dyDescent="0.25">
      <c r="B11" t="s">
        <v>54</v>
      </c>
    </row>
    <row r="12" spans="2:6" x14ac:dyDescent="0.25">
      <c r="B12" t="s">
        <v>55</v>
      </c>
    </row>
    <row r="13" spans="2:6" x14ac:dyDescent="0.25">
      <c r="B13" t="s">
        <v>56</v>
      </c>
    </row>
    <row r="14" spans="2:6" x14ac:dyDescent="0.25">
      <c r="B14" t="s">
        <v>57</v>
      </c>
    </row>
    <row r="15" spans="2:6" x14ac:dyDescent="0.25">
      <c r="B15" t="s">
        <v>58</v>
      </c>
    </row>
    <row r="16" spans="2:6" x14ac:dyDescent="0.25">
      <c r="B16" t="s">
        <v>59</v>
      </c>
    </row>
    <row r="17" spans="2:2" x14ac:dyDescent="0.25">
      <c r="B17" t="s">
        <v>60</v>
      </c>
    </row>
    <row r="18" spans="2:2" x14ac:dyDescent="0.25">
      <c r="B18" t="s">
        <v>62</v>
      </c>
    </row>
    <row r="19" spans="2:2" x14ac:dyDescent="0.25">
      <c r="B19" t="s">
        <v>63</v>
      </c>
    </row>
    <row r="20" spans="2:2" x14ac:dyDescent="0.25">
      <c r="B2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PROJECT_COST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BeyondSensor</dc:creator>
  <cp:lastModifiedBy>Yong Yan Foo</cp:lastModifiedBy>
  <dcterms:created xsi:type="dcterms:W3CDTF">2015-06-05T18:17:20Z</dcterms:created>
  <dcterms:modified xsi:type="dcterms:W3CDTF">2026-10-22T10:51:37Z</dcterms:modified>
</cp:coreProperties>
</file>